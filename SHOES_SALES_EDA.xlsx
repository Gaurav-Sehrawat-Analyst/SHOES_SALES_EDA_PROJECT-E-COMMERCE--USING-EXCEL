
<file path=[Content_Types].xml><?xml version="1.0" encoding="utf-8"?>
<Types xmlns="http://schemas.openxmlformats.org/package/2006/content-types">
  <Default Extension="bin" ContentType="application/vnd.openxmlformats-officedocument.spreadsheetml.printerSettings"/>
  <Default Extension="glb" ContentType="model/gltf.binar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hidePivotFieldList="1"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13_ncr:1_{33094200-B44F-4827-A39F-6A7E8D0A1CB0}" xr6:coauthVersionLast="47" xr6:coauthVersionMax="47" xr10:uidLastSave="{00000000-0000-0000-0000-000000000000}"/>
  <bookViews>
    <workbookView xWindow="-120" yWindow="-120" windowWidth="20730" windowHeight="11760" activeTab="3" xr2:uid="{6E44E1D4-4249-4107-9E44-B57EEA648979}"/>
  </bookViews>
  <sheets>
    <sheet name="shoes_sales_dataset" sheetId="2" r:id="rId1"/>
    <sheet name="ANALYSIS" sheetId="6" r:id="rId2"/>
    <sheet name="PIVOT_TABLES" sheetId="4" r:id="rId3"/>
    <sheet name="DASHB" sheetId="5" r:id="rId4"/>
  </sheets>
  <definedNames>
    <definedName name="ExternalData_1" localSheetId="0" hidden="1">shoes_sales_dataset!$A$1:$J$1001</definedName>
    <definedName name="Slicer_Country">#N/A</definedName>
  </definedNames>
  <calcPr calcId="191029"/>
  <pivotCaches>
    <pivotCache cacheId="2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6" l="1"/>
  <c r="C13" i="6"/>
  <c r="B14" i="6"/>
  <c r="B13" i="6"/>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J5" i="6"/>
  <c r="I5" i="6"/>
  <c r="I2" i="6" a="1"/>
  <c r="I2" i="6" s="1"/>
  <c r="C5" i="6"/>
  <c r="A5" i="6"/>
  <c r="C2" i="6"/>
  <c r="A2" i="6"/>
  <c r="F8" i="6" l="1"/>
  <c r="F2" i="6"/>
  <c r="F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30C89B-625C-4FB2-B976-0E25135344EE}" keepAlive="1" name="Query - shoes_sales_dataset" description="Connection to the 'shoes_sales_dataset' query in the workbook." type="5" refreshedVersion="7" background="1" saveData="1">
    <dbPr connection="Provider=Microsoft.Mashup.OleDb.1;Data Source=$Workbook$;Location=shoes_sales_dataset;Extended Properties=&quot;&quot;" command="SELECT * FROM [shoes_sales_datase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<sst xmlns="http://schemas.openxmlformats.org/spreadsheetml/2006/main" count="6146" uniqueCount="1070">
  <si>
    <t>Sale_ID</t>
  </si>
  <si>
    <t>Date</t>
  </si>
  <si>
    <t>Brand</t>
  </si>
  <si>
    <t>Shoe_Type</t>
  </si>
  <si>
    <t>Color</t>
  </si>
  <si>
    <t>Country</t>
  </si>
  <si>
    <t>Sales_Channel</t>
  </si>
  <si>
    <t>Price_USD</t>
  </si>
  <si>
    <t>Units_Sold</t>
  </si>
  <si>
    <t>Revenue_USD</t>
  </si>
  <si>
    <t>S1</t>
  </si>
  <si>
    <t>Nike</t>
  </si>
  <si>
    <t>Boots</t>
  </si>
  <si>
    <t>Blue</t>
  </si>
  <si>
    <t>UK</t>
  </si>
  <si>
    <t>Online</t>
  </si>
  <si>
    <t>S2</t>
  </si>
  <si>
    <t>Skechers</t>
  </si>
  <si>
    <t>Grey</t>
  </si>
  <si>
    <t>USA</t>
  </si>
  <si>
    <t>Mall</t>
  </si>
  <si>
    <t>S3</t>
  </si>
  <si>
    <t>Running</t>
  </si>
  <si>
    <t>White</t>
  </si>
  <si>
    <t>S4</t>
  </si>
  <si>
    <t>New Balance</t>
  </si>
  <si>
    <t>Casual</t>
  </si>
  <si>
    <t>Green</t>
  </si>
  <si>
    <t>UAE</t>
  </si>
  <si>
    <t>S5</t>
  </si>
  <si>
    <t>Adidas</t>
  </si>
  <si>
    <t>Formal</t>
  </si>
  <si>
    <t>France</t>
  </si>
  <si>
    <t>S6</t>
  </si>
  <si>
    <t>Puma</t>
  </si>
  <si>
    <t>Sports</t>
  </si>
  <si>
    <t>Retail Store</t>
  </si>
  <si>
    <t>S7</t>
  </si>
  <si>
    <t>Reebok</t>
  </si>
  <si>
    <t>Saudi Arabia</t>
  </si>
  <si>
    <t>S8</t>
  </si>
  <si>
    <t>Red</t>
  </si>
  <si>
    <t>India</t>
  </si>
  <si>
    <t>S9</t>
  </si>
  <si>
    <t>S10</t>
  </si>
  <si>
    <t>Black</t>
  </si>
  <si>
    <t>S11</t>
  </si>
  <si>
    <t>S12</t>
  </si>
  <si>
    <t>S13</t>
  </si>
  <si>
    <t>S14</t>
  </si>
  <si>
    <t>S15</t>
  </si>
  <si>
    <t>S16</t>
  </si>
  <si>
    <t>S17</t>
  </si>
  <si>
    <t>S18</t>
  </si>
  <si>
    <t>S19</t>
  </si>
  <si>
    <t>Sneakers</t>
  </si>
  <si>
    <t>S20</t>
  </si>
  <si>
    <t>S21</t>
  </si>
  <si>
    <t>S22</t>
  </si>
  <si>
    <t>S23</t>
  </si>
  <si>
    <t>S24</t>
  </si>
  <si>
    <t>Germany</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</si>
  <si>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</si>
  <si>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</si>
  <si>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</si>
  <si>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</si>
  <si>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</si>
  <si>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</si>
  <si>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</si>
  <si>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</si>
  <si>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</si>
  <si>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</si>
  <si>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</si>
  <si>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</si>
  <si>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</si>
  <si>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</si>
  <si>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</si>
  <si>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</si>
  <si>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</si>
  <si>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</si>
  <si>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</si>
  <si>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</si>
  <si>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</si>
  <si>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</si>
  <si>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</si>
  <si>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</si>
  <si>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</si>
  <si>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</si>
  <si>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</si>
  <si>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</si>
  <si>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</si>
  <si>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</si>
  <si>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</si>
  <si>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</si>
  <si>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</si>
  <si>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</si>
  <si>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</si>
  <si>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</si>
  <si>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</si>
  <si>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</si>
  <si>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</si>
  <si>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</si>
  <si>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</si>
  <si>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</si>
  <si>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</si>
  <si>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</si>
  <si>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</si>
  <si>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</si>
  <si>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</si>
  <si>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</si>
  <si>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</si>
  <si>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</si>
  <si>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</si>
  <si>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</si>
  <si>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</si>
  <si>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</si>
  <si>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</si>
  <si>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</si>
  <si>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</si>
  <si>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</si>
  <si>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</si>
  <si>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</si>
  <si>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</si>
  <si>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</si>
  <si>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</si>
  <si>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</si>
  <si>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</si>
  <si>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</si>
  <si>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</si>
  <si>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</si>
  <si>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</si>
  <si>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</si>
  <si>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</si>
  <si>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</si>
  <si>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</si>
  <si>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</si>
  <si>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</si>
  <si>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</si>
  <si>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</si>
  <si>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</si>
  <si>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</si>
  <si>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</si>
  <si>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</si>
  <si>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</si>
  <si>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</si>
  <si>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</si>
  <si>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</si>
  <si>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</si>
  <si>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</si>
  <si>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</si>
  <si>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</si>
  <si>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</si>
  <si>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</si>
  <si>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</si>
  <si>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</si>
  <si>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</si>
  <si>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</si>
  <si>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</si>
  <si>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</si>
  <si>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</si>
  <si>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</si>
  <si>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</si>
  <si>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</si>
  <si>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</si>
  <si>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</si>
  <si>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</si>
  <si>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</si>
  <si>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</si>
  <si>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</si>
  <si>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</si>
  <si>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</si>
  <si>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</si>
  <si>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</si>
  <si>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</si>
  <si>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</si>
  <si>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</si>
  <si>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</si>
  <si>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</si>
  <si>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</si>
  <si>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</si>
  <si>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</si>
  <si>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</si>
  <si>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</si>
  <si>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</si>
  <si>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</si>
  <si>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</si>
  <si>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</si>
  <si>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</si>
  <si>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</si>
  <si>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</si>
  <si>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</si>
  <si>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</si>
  <si>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</si>
  <si>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</si>
  <si>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</si>
  <si>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</si>
  <si>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</si>
  <si>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</si>
  <si>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</si>
  <si>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</si>
  <si>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</si>
  <si>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</si>
  <si>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</si>
  <si>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</si>
  <si>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</si>
  <si>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</si>
  <si>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</si>
  <si>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</si>
  <si>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</si>
  <si>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</si>
  <si>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</si>
  <si>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</si>
  <si>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</si>
  <si>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</si>
  <si>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</si>
  <si>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</si>
  <si>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</si>
  <si>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</si>
  <si>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</si>
  <si>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</si>
  <si>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</si>
  <si>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</si>
  <si>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</si>
  <si>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</si>
  <si>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</si>
  <si>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</si>
  <si>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</si>
  <si>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</si>
  <si>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</si>
  <si>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</si>
  <si>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</si>
  <si>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</si>
  <si>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</si>
  <si>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</si>
  <si>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</si>
  <si>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</si>
  <si>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</si>
  <si>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</si>
  <si>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</si>
  <si>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</si>
  <si>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</si>
  <si>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</si>
  <si>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</si>
  <si>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</si>
  <si>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</si>
  <si>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</si>
  <si>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</si>
  <si>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</si>
  <si>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</si>
  <si>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</si>
  <si>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</si>
  <si>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</si>
  <si>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</si>
  <si>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</si>
  <si>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</si>
  <si>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</si>
  <si>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</si>
  <si>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</si>
  <si>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</si>
  <si>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</si>
  <si>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</si>
  <si>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</si>
  <si>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</si>
  <si>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</si>
  <si>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</si>
  <si>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</si>
  <si>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</si>
  <si>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</si>
  <si>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</si>
  <si>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</si>
  <si>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</si>
  <si>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</si>
  <si>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</si>
  <si>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</si>
  <si>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</si>
  <si>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</si>
  <si>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</si>
  <si>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</si>
  <si>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</si>
  <si>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</si>
  <si>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</si>
  <si>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</si>
  <si>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</si>
  <si>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</si>
  <si>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</si>
  <si>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</si>
  <si>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</si>
  <si>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</si>
  <si>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</si>
  <si>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</si>
  <si>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</si>
  <si>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</si>
  <si>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</si>
  <si>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</si>
  <si>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</si>
  <si>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</si>
  <si>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</si>
  <si>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</si>
  <si>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</si>
  <si>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</si>
  <si>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</si>
  <si>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</si>
  <si>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</si>
  <si>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</si>
  <si>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</si>
  <si>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</si>
  <si>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</si>
  <si>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</si>
  <si>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</si>
  <si>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</si>
  <si>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</si>
  <si>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</si>
  <si>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</si>
  <si>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</si>
  <si>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</si>
  <si>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</si>
  <si>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</si>
  <si>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</si>
  <si>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</si>
  <si>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</si>
  <si>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</si>
  <si>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</si>
  <si>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</si>
  <si>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</si>
  <si>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</si>
  <si>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</si>
  <si>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</si>
  <si>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</si>
  <si>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</si>
  <si>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</si>
  <si>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</si>
  <si>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</si>
  <si>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</si>
  <si>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</si>
  <si>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</si>
  <si>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</si>
  <si>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</si>
  <si>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</si>
  <si>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</si>
  <si>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</si>
  <si>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</si>
  <si>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</si>
  <si>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</si>
  <si>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</si>
  <si>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</si>
  <si>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</si>
  <si>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</si>
  <si>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</si>
  <si>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</si>
  <si>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</si>
  <si>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</si>
  <si>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</si>
  <si>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</si>
  <si>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</si>
  <si>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</si>
  <si>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</si>
  <si>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</si>
  <si>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</si>
  <si>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</si>
  <si>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</si>
  <si>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</si>
  <si>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</si>
  <si>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</si>
  <si>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</si>
  <si>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</si>
  <si>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</si>
  <si>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</si>
  <si>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</si>
  <si>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</si>
  <si>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</si>
  <si>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</si>
  <si>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</si>
  <si>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</si>
  <si>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</si>
  <si>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</si>
  <si>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</si>
  <si>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</si>
  <si>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</si>
  <si>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</si>
  <si>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</si>
  <si>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</si>
  <si>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</si>
  <si>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</si>
  <si>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</si>
  <si>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</si>
  <si>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</si>
  <si>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</si>
  <si>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</si>
  <si>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</si>
  <si>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</si>
  <si>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</si>
  <si>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</si>
  <si>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</si>
  <si>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</si>
  <si>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</si>
  <si>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</si>
  <si>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</si>
  <si>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</si>
  <si>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</si>
  <si>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</si>
  <si>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</si>
  <si>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</si>
  <si>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</si>
  <si>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</si>
  <si>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</si>
  <si>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</si>
  <si>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</si>
  <si>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</si>
  <si>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</si>
  <si>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</si>
  <si>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</si>
  <si>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</si>
  <si>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</si>
  <si>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</si>
  <si>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</si>
  <si>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</si>
  <si>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</si>
  <si>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</si>
  <si>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</si>
  <si>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</si>
  <si>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</si>
  <si>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</si>
  <si>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</si>
  <si>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</si>
  <si>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</si>
  <si>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</si>
  <si>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</si>
  <si>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</si>
  <si>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</si>
  <si>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</si>
  <si>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</si>
  <si>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</si>
  <si>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</si>
  <si>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</si>
  <si>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</si>
  <si>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</si>
  <si>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</si>
  <si>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</si>
  <si>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</si>
  <si>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</si>
  <si>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</si>
  <si>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</si>
  <si>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</si>
  <si>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</si>
  <si>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</si>
  <si>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</si>
  <si>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</si>
  <si>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</si>
  <si>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</si>
  <si>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</si>
  <si>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</si>
  <si>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</si>
  <si>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</si>
  <si>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</si>
  <si>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</si>
  <si>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</si>
  <si>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</si>
  <si>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</si>
  <si>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</si>
  <si>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</si>
  <si>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</si>
  <si>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</si>
  <si>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</si>
  <si>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</si>
  <si>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</si>
  <si>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</si>
  <si>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</si>
  <si>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</si>
  <si>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</si>
  <si>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</si>
  <si>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</si>
  <si>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</si>
  <si>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</si>
  <si>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</si>
  <si>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</si>
  <si>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</si>
  <si>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</si>
  <si>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</si>
  <si>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</si>
  <si>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</si>
  <si>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</si>
  <si>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</si>
  <si>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</si>
  <si>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</si>
  <si>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</si>
  <si>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</si>
  <si>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</si>
  <si>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</si>
  <si>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</si>
  <si>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</si>
  <si>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</si>
  <si>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</si>
  <si>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</si>
  <si>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</si>
  <si>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</si>
  <si>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</si>
  <si>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</si>
  <si>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</si>
  <si>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</si>
  <si>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</si>
  <si>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</si>
  <si>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</si>
  <si>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</si>
  <si>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</si>
  <si>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</si>
  <si>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</si>
  <si>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</si>
  <si>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</si>
  <si>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</si>
  <si>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</si>
  <si>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</si>
  <si>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</si>
  <si>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</si>
  <si>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</si>
  <si>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</si>
  <si>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</si>
  <si>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</si>
  <si>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</si>
  <si>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</si>
  <si>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</si>
  <si>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</si>
  <si>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</si>
  <si>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</si>
  <si>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</si>
  <si>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</si>
  <si>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</si>
  <si>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</si>
  <si>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</si>
  <si>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</si>
  <si>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</si>
  <si>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</si>
  <si>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</si>
  <si>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</si>
  <si>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</si>
  <si>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</si>
  <si>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</si>
  <si>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</si>
  <si>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</si>
  <si>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</si>
  <si>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</si>
  <si>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</si>
  <si>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</si>
  <si>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</si>
  <si>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</si>
  <si>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</si>
  <si>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</si>
  <si>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</si>
  <si>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</si>
  <si>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</si>
  <si>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</si>
  <si>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</si>
  <si>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</si>
  <si>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</si>
  <si>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</si>
  <si>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</si>
  <si>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</si>
  <si>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</si>
  <si>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</si>
  <si>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</si>
  <si>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</si>
  <si>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</si>
  <si>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</si>
  <si>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</si>
  <si>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</si>
  <si>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</si>
  <si>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</si>
  <si>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</si>
  <si>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</si>
  <si>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</si>
  <si>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</si>
  <si>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</si>
  <si>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</si>
  <si>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</si>
  <si>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</si>
  <si>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</si>
  <si>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</si>
  <si>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</si>
  <si>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</si>
  <si>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</si>
  <si>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</si>
  <si>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</si>
  <si>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</si>
  <si>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</si>
  <si>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</si>
  <si>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</si>
  <si>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</si>
  <si>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</si>
  <si>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</si>
  <si>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</si>
  <si>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</si>
  <si>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</si>
  <si>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</si>
  <si>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</si>
  <si>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</si>
  <si>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</si>
  <si>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</si>
  <si>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</si>
  <si>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</si>
  <si>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</si>
  <si>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</si>
  <si>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</si>
  <si>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</si>
  <si>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</si>
  <si>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</si>
  <si>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</si>
  <si>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</si>
  <si>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</si>
  <si>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</si>
  <si>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</si>
  <si>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</si>
  <si>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</si>
  <si>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</si>
  <si>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</si>
  <si>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</si>
  <si>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</si>
  <si>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</si>
  <si>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</si>
  <si>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</si>
  <si>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</si>
  <si>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</si>
  <si>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</si>
  <si>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</si>
  <si>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</si>
  <si>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</si>
  <si>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</si>
  <si>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</si>
  <si>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</si>
  <si>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</si>
  <si>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</si>
  <si>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</si>
  <si>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</si>
  <si>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</si>
  <si>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</si>
  <si>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</si>
  <si>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</si>
  <si>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</si>
  <si>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</si>
  <si>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</si>
  <si>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</si>
  <si>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</si>
  <si>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</si>
  <si>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</si>
  <si>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</si>
  <si>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</si>
  <si>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</si>
  <si>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</si>
  <si>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</si>
  <si>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</si>
  <si>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</si>
  <si>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</si>
  <si>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</si>
  <si>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</si>
  <si>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</si>
  <si>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</si>
  <si>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</si>
  <si>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</si>
  <si>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</si>
  <si>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</si>
  <si>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</si>
  <si>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</si>
  <si>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</si>
  <si>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</si>
  <si>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</si>
  <si>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</si>
  <si>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</si>
  <si>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</si>
  <si>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</si>
  <si>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</si>
  <si>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</si>
  <si>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</si>
  <si>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</si>
  <si>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</si>
  <si>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</si>
  <si>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</si>
  <si>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</si>
  <si>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</si>
  <si>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</si>
  <si>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</si>
  <si>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</si>
  <si>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</si>
  <si>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</si>
  <si>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</si>
  <si>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</si>
  <si>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</si>
  <si>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</si>
  <si>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</si>
  <si>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</si>
  <si>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</si>
  <si>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</si>
  <si>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</si>
  <si>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</si>
  <si>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</si>
  <si>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</si>
  <si>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</si>
  <si>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</si>
  <si>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</si>
  <si>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</si>
  <si>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</si>
  <si>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</si>
  <si>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</si>
  <si>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</si>
  <si>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</si>
  <si>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</si>
  <si>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</si>
  <si>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</si>
  <si>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</si>
  <si>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</si>
  <si>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</si>
  <si>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</si>
  <si>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</si>
  <si>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</si>
  <si>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</si>
  <si>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</si>
  <si>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</si>
  <si>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</si>
  <si>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</si>
  <si>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</si>
  <si>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</si>
  <si>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</si>
  <si>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</si>
  <si>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</si>
  <si>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</si>
  <si>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</si>
  <si>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</si>
  <si>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</si>
  <si>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</si>
  <si>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</si>
  <si>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</si>
  <si>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</si>
  <si>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</si>
  <si>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</si>
  <si>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</si>
  <si>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</si>
  <si>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</si>
  <si>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</si>
  <si>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</si>
  <si>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</si>
  <si>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</si>
  <si>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</si>
  <si>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</si>
  <si>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</si>
  <si>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</si>
  <si>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</si>
  <si>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</si>
  <si>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</si>
  <si>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</si>
  <si>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</si>
  <si>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</si>
  <si>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</si>
  <si>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</si>
  <si>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</si>
  <si>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</si>
  <si>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</si>
  <si>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</si>
  <si>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</si>
  <si>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</si>
  <si>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</si>
  <si>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</si>
  <si>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</si>
  <si>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</si>
  <si>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</si>
  <si>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</si>
  <si>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</si>
  <si>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</si>
  <si>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</si>
  <si>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</si>
  <si>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</si>
  <si>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</si>
  <si>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</si>
  <si>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</si>
  <si>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</si>
  <si>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</si>
  <si>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</si>
  <si>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</si>
  <si>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</si>
  <si>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</si>
  <si>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</si>
  <si>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</si>
  <si>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</si>
  <si>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</si>
  <si>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</si>
  <si>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</si>
  <si>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</si>
  <si>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</si>
  <si>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</si>
  <si>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</si>
  <si>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</si>
  <si>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</si>
  <si>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</si>
  <si>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</si>
  <si>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</si>
  <si>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</si>
  <si>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</si>
  <si>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</si>
  <si>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</si>
  <si>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</si>
  <si>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</si>
  <si>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</si>
  <si>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</si>
  <si>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</si>
  <si>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</si>
  <si>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</si>
  <si>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</si>
  <si>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</si>
  <si>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</si>
  <si>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</si>
  <si>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</si>
  <si>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</si>
  <si>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</si>
  <si>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</si>
  <si>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</si>
  <si>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</si>
  <si>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</si>
  <si>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</si>
  <si>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</si>
  <si>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</si>
  <si>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</si>
  <si>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</si>
  <si>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</si>
  <si>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</si>
  <si>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</si>
  <si>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</si>
  <si>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</si>
  <si>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</si>
  <si>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</si>
  <si>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</si>
  <si>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</si>
  <si>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</si>
  <si>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</si>
  <si>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</si>
  <si>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</si>
  <si>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</si>
  <si>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</si>
  <si>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</si>
  <si>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</si>
  <si>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</si>
  <si>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</si>
  <si>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</si>
  <si>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</si>
  <si>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</si>
  <si>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</si>
  <si>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</si>
  <si>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</si>
  <si>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</si>
  <si>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</si>
  <si>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</si>
  <si>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</si>
  <si>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</si>
  <si>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</si>
  <si>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</si>
  <si>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</si>
  <si>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</si>
  <si>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</si>
  <si>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</si>
  <si>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</si>
  <si>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</si>
  <si>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</si>
  <si>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</si>
  <si>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</si>
  <si>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</si>
  <si>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</si>
  <si>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</si>
  <si>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</si>
  <si>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</si>
  <si>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</si>
  <si>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</si>
  <si>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</si>
  <si>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</si>
  <si>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</si>
  <si>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</si>
  <si>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</si>
  <si>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</si>
  <si>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</si>
  <si>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</si>
  <si>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</si>
  <si>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</si>
  <si>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</si>
  <si>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</si>
  <si>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</si>
  <si>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</si>
  <si>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</si>
  <si>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</si>
  <si>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</si>
  <si>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</si>
  <si>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</si>
  <si>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</si>
  <si>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</si>
  <si>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</si>
  <si>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</si>
  <si>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</si>
  <si>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</si>
  <si>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</si>
  <si>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</si>
  <si>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</si>
  <si>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</si>
  <si>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</si>
  <si>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</si>
  <si>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</si>
  <si>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</si>
  <si>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</si>
  <si>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</si>
  <si>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</si>
  <si>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</si>
  <si>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</si>
  <si>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</si>
  <si>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</si>
  <si>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</si>
  <si>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</si>
  <si>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</si>
  <si>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</si>
  <si>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</si>
  <si>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</si>
  <si>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</si>
  <si>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</si>
  <si>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</si>
  <si>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</si>
  <si>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</si>
  <si>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</si>
  <si>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</si>
  <si>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</si>
  <si>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</si>
  <si>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</si>
  <si>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</si>
  <si>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</si>
  <si>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</si>
  <si>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</si>
  <si>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</si>
  <si>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</si>
  <si>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</si>
  <si>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</si>
  <si>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</si>
  <si>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</si>
  <si>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</si>
  <si>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</si>
  <si>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</si>
  <si>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</si>
  <si>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</si>
  <si>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</si>
  <si>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</si>
  <si>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</si>
  <si>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</si>
  <si>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</si>
  <si>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</si>
  <si>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</si>
  <si>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</si>
  <si>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</si>
  <si>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</si>
  <si>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</si>
  <si>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</si>
  <si>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</si>
  <si>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</si>
  <si>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</si>
  <si>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</si>
  <si>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</si>
  <si>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</si>
  <si>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</si>
  <si>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</si>
  <si>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</si>
  <si>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</si>
  <si>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</si>
  <si>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</si>
  <si>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</si>
  <si>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</si>
  <si>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</si>
  <si>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</si>
  <si>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</si>
  <si>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</si>
  <si>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</si>
  <si>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</si>
  <si>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</si>
  <si>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</si>
  <si>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</si>
  <si>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</si>
  <si>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</si>
  <si>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</si>
  <si>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</si>
  <si>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</si>
  <si>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</si>
  <si>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</si>
  <si>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</si>
  <si>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</si>
  <si>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</si>
  <si>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</si>
  <si>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</si>
  <si>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</si>
  <si>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</si>
  <si>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</si>
  <si>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</si>
  <si>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</si>
  <si>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</si>
  <si>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</si>
  <si>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</si>
  <si>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</si>
  <si>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</si>
  <si>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</si>
  <si>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</si>
  <si>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</si>
  <si>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</si>
  <si>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</si>
  <si>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</si>
  <si>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</si>
  <si>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</si>
  <si>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</si>
  <si>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</si>
  <si>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</si>
  <si>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</si>
  <si>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</si>
  <si>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</si>
  <si>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</si>
  <si>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</si>
  <si>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</si>
  <si>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</si>
  <si>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</si>
  <si>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</si>
  <si>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</si>
  <si>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</si>
  <si>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</si>
  <si>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</si>
  <si>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</si>
  <si>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</si>
  <si>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</si>
  <si>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</si>
  <si>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</si>
  <si>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</si>
  <si>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</si>
  <si>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</si>
  <si>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</si>
  <si>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</si>
  <si>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</si>
  <si>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</si>
  <si>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</si>
  <si>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</si>
  <si>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</si>
  <si>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</si>
  <si>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</si>
  <si>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</si>
  <si>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</si>
  <si>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</si>
  <si>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Grand Total</t>
  </si>
  <si>
    <t>Jan</t>
  </si>
  <si>
    <t>Feb</t>
  </si>
  <si>
    <t>Mar</t>
  </si>
  <si>
    <t>Apr</t>
  </si>
  <si>
    <t>May</t>
  </si>
  <si>
    <t>Jun</t>
  </si>
  <si>
    <t>Jul</t>
  </si>
  <si>
    <t>Aug</t>
  </si>
  <si>
    <t>Sep</t>
  </si>
  <si>
    <t>Oct</t>
  </si>
  <si>
    <t>Nov</t>
  </si>
  <si>
    <t>Dec</t>
  </si>
  <si>
    <t>TOTAL ORDERS</t>
  </si>
  <si>
    <t>MONTH</t>
  </si>
  <si>
    <t>ORDERS</t>
  </si>
  <si>
    <t>TOTAL SOLD QUANTITY</t>
  </si>
  <si>
    <t>TOTAL REVENUE</t>
  </si>
  <si>
    <t>BRAND</t>
  </si>
  <si>
    <t>TOTAL Units_Sold</t>
  </si>
  <si>
    <t>Average of Price_USD</t>
  </si>
  <si>
    <t>Column Labels</t>
  </si>
  <si>
    <t>Sales channal</t>
  </si>
  <si>
    <t>sales chennal</t>
  </si>
  <si>
    <t>SOLD UNIT</t>
  </si>
  <si>
    <t>TOTAL SOLD UNITS</t>
  </si>
  <si>
    <t>AVG UNIT PRICE</t>
  </si>
  <si>
    <t>TOTAL revenue</t>
  </si>
  <si>
    <t>REVENUE</t>
  </si>
  <si>
    <t>MIN</t>
  </si>
  <si>
    <t>MAX</t>
  </si>
  <si>
    <t>SOLD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</si>
</sst>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6" x14ac:knownFonts="1">
    <font>
      <sz val="11"/>
      <color theme="1"/>
      <name val="Calibri"/>
      <family val="2"/>
      <scheme val="minor"/>
    </font>
    <font>
      <sz val="14"/>
      <color theme="1"/>
      <name val="Calibri"/>
      <family val="2"/>
      <scheme val="minor"/>
    </font>
    <font>
      <b/>
      <sz val="14"/>
      <color theme="1"/>
      <name val="Calibri"/>
      <family val="2"/>
      <scheme val="minor"/>
    </font>
    <font>
      <sz val="16"/>
      <color theme="1"/>
      <name val="Calibri"/>
      <family val="2"/>
      <scheme val="minor"/>
    </font>
    <font>
      <b/>
      <sz val="16"/>
      <color theme="1"/>
      <name val="Calibri"/>
      <family val="2"/>
      <scheme val="minor"/>
    </font>
    <font>
      <b/>
      <sz val="14"/>
      <color theme="0"/>
      <name val="Calibri"/>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00B050"/>
        <bgColor indexed="64"/>
      </patternFill>
    </fill>
    <fill>
      <patternFill patternType="solid">
        <fgColor theme="7"/>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21">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 fontId="0" fillId="0" borderId="0" xfId="0" applyNumberFormat="1"/>
    <xf numFmtId="0" fontId="0" fillId="3" borderId="1" xfId="0" applyNumberFormat="1" applyFont="1" applyFill="1" applyBorder="1"/>
    <xf numFmtId="0" fontId="1" fillId="0" borderId="0" xfId="0" applyFont="1"/>
    <xf numFmtId="0" fontId="2" fillId="4" borderId="0" xfId="0" applyFont="1" applyFill="1"/>
    <xf numFmtId="0" fontId="2" fillId="0" borderId="0" xfId="0" applyFont="1"/>
    <xf numFmtId="0" fontId="3" fillId="0" borderId="0" xfId="0" applyFont="1"/>
    <xf numFmtId="0" fontId="3" fillId="5" borderId="0" xfId="0" applyFont="1" applyFill="1"/>
    <xf numFmtId="0" fontId="4" fillId="4" borderId="0" xfId="0" applyFont="1" applyFill="1"/>
    <xf numFmtId="0" fontId="4" fillId="0" borderId="0" xfId="0" applyFont="1"/>
    <xf numFmtId="164" fontId="1" fillId="0" borderId="0" xfId="0" applyNumberFormat="1" applyFont="1"/>
    <xf numFmtId="0" fontId="5" fillId="2" borderId="1" xfId="0" applyFont="1" applyFill="1" applyBorder="1"/>
    <xf numFmtId="0" fontId="5" fillId="2" borderId="2" xfId="0" applyFont="1" applyFill="1" applyBorder="1"/>
    <xf numFmtId="0" fontId="5" fillId="2" borderId="3" xfId="0" applyFont="1" applyFill="1" applyBorder="1"/>
    <xf numFmtId="0" fontId="1" fillId="3" borderId="1" xfId="0" applyNumberFormat="1" applyFont="1" applyFill="1" applyBorder="1"/>
  </cellXfs>
  <cellStyles count="1">
    <cellStyle name="Normal" xfId="0" builtinId="0"/>
  </cellStyles>
  <dxfs count="34">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2" formatCode="0.00"/>
    </dxf>
    <dxf>
      <numFmt numFmtId="2" formatCode="0.00"/>
    </dxf>
    <dxf>
      <numFmt numFmtId="164" formatCode="_-[$$-409]* #,##0.00_ ;_-[$$-409]* \-#,##0.00\ ;_-[$$-409]* &quot;-&quot;??_ ;_-@_ "/>
    </dxf>
    <dxf>
      <numFmt numFmtId="164" formatCode="_-[$$-409]* #,##0.00_ ;_-[$$-409]* \-#,##0.00\ ;_-[$$-409]* &quot;-&quot;??_ ;_-@_ "/>
    </dxf>
    <dxf>
      <numFmt numFmtId="1" formatCode="0"/>
    </dxf>
    <dxf>
      <numFmt numFmtId="2" formatCode="0.00"/>
    </dxf>
    <dxf>
      <numFmt numFmtId="2" formatCode="0.00"/>
    </dxf>
    <dxf>
      <numFmt numFmtId="164" formatCode="_-[$$-409]* #,##0.00_ ;_-[$$-409]* \-#,##0.00\ ;_-[$$-409]* &quot;-&quot;??_ ;_-@_ "/>
    </dxf>
    <dxf>
      <numFmt numFmtId="164" formatCode="_-[$$-409]* #,##0.00_ ;_-[$$-409]* \-#,##0.00\ ;_-[$$-409]* &quot;-&quot;??_ ;_-@_ "/>
    </dxf>
    <dxf>
      <numFmt numFmtId="1" formatCode="0"/>
    </dxf>
    <dxf>
      <numFmt numFmtId="2" formatCode="0.00"/>
    </dxf>
    <dxf>
      <numFmt numFmtId="2" formatCode="0.00"/>
    </dxf>
    <dxf>
      <numFmt numFmtId="164" formatCode="_-[$$-409]* #,##0.00_ ;_-[$$-409]* \-#,##0.00\ ;_-[$$-409]* &quot;-&quot;??_ ;_-@_ "/>
    </dxf>
    <dxf>
      <numFmt numFmtId="164" formatCode="_-[$$-409]* #,##0.00_ ;_-[$$-409]* \-#,##0.00\ ;_-[$$-409]* &quot;-&quot;??_ ;_-@_ "/>
    </dxf>
    <dxf>
      <numFmt numFmtId="1" formatCode="0"/>
    </dxf>
    <dxf>
      <numFmt numFmtId="2" formatCode="0.00"/>
    </dxf>
    <dxf>
      <numFmt numFmtId="2" formatCode="0.00"/>
    </dxf>
    <dxf>
      <numFmt numFmtId="164" formatCode="_-[$$-409]* #,##0.00_ ;_-[$$-409]* \-#,##0.00\ ;_-[$$-409]* &quot;-&quot;??_ ;_-@_ "/>
    </dxf>
    <dxf>
      <numFmt numFmtId="164" formatCode="_-[$$-409]* #,##0.00_ ;_-[$$-409]* \-#,##0.00\ ;_-[$$-409]* &quot;-&quot;??_ ;_-@_ "/>
    </dxf>
    <dxf>
      <numFmt numFmtId="1" formatCode="0"/>
    </dxf>
    <dxf>
      <numFmt numFmtId="1" formatCode="0"/>
    </dxf>
    <dxf>
      <numFmt numFmtId="164" formatCode="_-[$$-409]* #,##0.00_ ;_-[$$-409]* \-#,##0.00\ ;_-[$$-409]* &quot;-&quot;??_ ;_-@_ "/>
    </dxf>
    <dxf>
      <numFmt numFmtId="164" formatCode="_-[$$-409]* #,##0.00_ ;_-[$$-409]* \-#,##0.00\ ;_-[$$-409]* &quot;-&quot;??_ ;_-@_ "/>
    </dxf>
    <dxf>
      <numFmt numFmtId="2" formatCode="0.00"/>
    </dxf>
    <dxf>
      <numFmt numFmtId="2" formatCode="0.00"/>
    </dxf>
  </dxfs>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[SHOES_SALES_EDA.xlsx]PIVOT_TABLES!PivotTable8</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PIVOT_TABLES!$E$18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PIVOT_TABLES!$D$19:$D$24</c:f>
              <c:strCache>
                <c:ptCount val="6"/>
                <c:pt idx="0">
                  <c:v>Skechers</c:v>
                </c:pt>
                <c:pt idx="1">
                  <c:v>Reebok</c:v>
                </c:pt>
                <c:pt idx="2">
                  <c:v>Puma</c:v>
                </c:pt>
                <c:pt idx="3">
                  <c:v>Nike</c:v>
                </c:pt>
                <c:pt idx="4">
                  <c:v>New Balance</c:v>
                </c:pt>
                <c:pt idx="5">
                  <c:v>Adidas</c:v>
                </c:pt>
              </c:strCache>
            </c:strRef>
          </c:cat>
          <c:val>
            <c:numRef>
              <c:f>PIVOT_TABLES!$E$19:$E$24</c:f>
              <c:numCache>
                <c:formatCode>General</c:formatCode>
                <c:ptCount val="6"/>
                <c:pt idx="0">
                  <c:v>1264</c:v>
                </c:pt>
                <c:pt idx="1">
                  <c:v>1335</c:v>
                </c:pt>
                <c:pt idx="2">
                  <c:v>1221</c:v>
                </c:pt>
                <c:pt idx="3">
                  <c:v>1034</c:v>
                </c:pt>
                <c:pt idx="4">
                  <c:v>1439</c:v>
                </c:pt>
                <c:pt idx="5">
                  <c:v>1226</c:v>
                </c:pt>
              </c:numCache>
            </c:numRef>
          </c:val>
          <c:extLst>
            <c:ext xmlns:c16="http://schemas.microsoft.com/office/drawing/2014/chart" uri="{C3380CC4-5D6E-409C-BE32-E72D297353CC}">
              <c16:uniqueId val="{00000000-43A6-4B8C-AFE0-2A1BB3175474}"/>
            </c:ext>
          </c:extLst>
        </c:ser>
        <c:dLbls>
          <c:showLegendKey val="0"/>
          <c:showVal val="0"/>
          <c:showCatName val="0"/>
          <c:showSerName val="0"/>
          <c:showPercent val="0"/>
          <c:showBubbleSize val="0"/>
        </c:dLbls>
        <c:gapWidth val="100"/>
        <c:overlap val="-24"/>
        <c:axId val="1335763135"/>
        <c:axId val="1335767711"/>
      </c:barChart>
      <c:catAx>
        <c:axId val="13357631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2"/>
                </a:solidFill>
                <a:latin typeface="+mn-lt"/>
                <a:ea typeface="+mn-ea"/>
                <a:cs typeface="+mn-cs"/>
              </a:defRPr>
            </a:pPr>
            <a:endParaRPr lang="en-US"/>
          </a:p>
        </c:txPr>
        <c:crossAx val="1335767711"/>
        <c:crosses val="autoZero"/>
        <c:auto val="1"/>
        <c:lblAlgn val="ctr"/>
        <c:lblOffset val="100"/>
        <c:noMultiLvlLbl val="0"/>
      </c:catAx>
      <c:valAx>
        <c:axId val="1335767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2"/>
                </a:solidFill>
                <a:latin typeface="+mn-lt"/>
                <a:ea typeface="+mn-ea"/>
                <a:cs typeface="+mn-cs"/>
              </a:defRPr>
            </a:pPr>
            <a:endParaRPr lang="en-US"/>
          </a:p>
        </c:txPr>
        <c:crossAx val="1335763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[SHOES_SALES_EDA.xlsx]PIVOT_TABLES!PivotTable7</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PIVOT_TABLES!$B$18</c:f>
              <c:strCache>
                <c:ptCount val="1"/>
                <c:pt idx="0">
                  <c:v>Total</c:v>
                </c:pt>
              </c:strCache>
            </c:strRef>
          </c:tx>
          <c:spPr>
            <a:solidFill>
              <a:schemeClr val="accent2"/>
            </a:solidFill>
            <a:ln>
              <a:noFill/>
            </a:ln>
            <a:effectLst/>
          </c:spPr>
          <c:invertIfNegative val="0"/>
          <c:cat>
            <c:strRef>
              <c:f>PIVOT_TABLES!$A$19:$A$24</c:f>
              <c:strCache>
                <c:ptCount val="6"/>
                <c:pt idx="0">
                  <c:v>Adidas</c:v>
                </c:pt>
                <c:pt idx="1">
                  <c:v>New Balance</c:v>
                </c:pt>
                <c:pt idx="2">
                  <c:v>Nike</c:v>
                </c:pt>
                <c:pt idx="3">
                  <c:v>Puma</c:v>
                </c:pt>
                <c:pt idx="4">
                  <c:v>Reebok</c:v>
                </c:pt>
                <c:pt idx="5">
                  <c:v>Skechers</c:v>
                </c:pt>
              </c:strCache>
            </c:strRef>
          </c:cat>
          <c:val>
            <c:numRef>
              <c:f>PIVOT_TABLES!$B$19:$B$24</c:f>
              <c:numCache>
                <c:formatCode>General</c:formatCode>
                <c:ptCount val="6"/>
                <c:pt idx="0">
                  <c:v>170427.97999999998</c:v>
                </c:pt>
                <c:pt idx="1">
                  <c:v>209266.25999999992</c:v>
                </c:pt>
                <c:pt idx="2">
                  <c:v>134515.44</c:v>
                </c:pt>
                <c:pt idx="3">
                  <c:v>162366.81000000003</c:v>
                </c:pt>
                <c:pt idx="4">
                  <c:v>188239.17000000004</c:v>
                </c:pt>
                <c:pt idx="5">
                  <c:v>173658.72000000009</c:v>
                </c:pt>
              </c:numCache>
            </c:numRef>
          </c:val>
          <c:extLst>
            <c:ext xmlns:c16="http://schemas.microsoft.com/office/drawing/2014/chart" uri="{C3380CC4-5D6E-409C-BE32-E72D297353CC}">
              <c16:uniqueId val="{00000000-731D-4610-902B-C949255B0157}"/>
            </c:ext>
          </c:extLst>
        </c:ser>
        <c:dLbls>
          <c:showLegendKey val="0"/>
          <c:showVal val="0"/>
          <c:showCatName val="0"/>
          <c:showSerName val="0"/>
          <c:showPercent val="0"/>
          <c:showBubbleSize val="0"/>
        </c:dLbls>
        <c:gapWidth val="150"/>
        <c:overlap val="100"/>
        <c:axId val="616675679"/>
        <c:axId val="616690239"/>
      </c:barChart>
      <c:catAx>
        <c:axId val="61667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616690239"/>
        <c:crosses val="autoZero"/>
        <c:auto val="1"/>
        <c:lblAlgn val="ctr"/>
        <c:lblOffset val="100"/>
        <c:noMultiLvlLbl val="0"/>
      </c:catAx>
      <c:valAx>
        <c:axId val="616690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616675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[SHOES_SALES_EDA.xlsx]PIVOT_TABLES!PivotTable9</c:name>
    <c:fmtId val="2"/>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accent2"/>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chemeClr val="accent2"/>
            </a:solidFill>
            <a:round/>
          </a:ln>
          <a:effectLst/>
        </c:spPr>
        <c:marker>
          <c:symbol val="circle"/>
          <c:size val="5"/>
          <c:spPr>
            <a:solidFill>
              <a:schemeClr val="tx1"/>
            </a:solidFill>
            <a:ln w="9525">
              <a:noFill/>
            </a:ln>
            <a:effectLst/>
          </c:spPr>
        </c:marker>
      </c:pivotFmt>
    </c:pivotFmts>
    <c:plotArea>
      <c:layout/>
      <c:lineChart>
        <c:grouping val="standard"/>
        <c:varyColors val="0"/>
        <c:ser>
          <c:idx val="0"/>
          <c:order val="0"/>
          <c:tx>
            <c:strRef>
              <c:f>PIVOT_TABLES!$H$18</c:f>
              <c:strCache>
                <c:ptCount val="1"/>
                <c:pt idx="0">
                  <c:v>Total</c:v>
                </c:pt>
              </c:strCache>
            </c:strRef>
          </c:tx>
          <c:spPr>
            <a:ln w="25400" cap="rnd">
              <a:solidFill>
                <a:schemeClr val="accent2"/>
              </a:solidFill>
              <a:round/>
            </a:ln>
            <a:effectLst/>
          </c:spPr>
          <c:marker>
            <c:symbol val="circle"/>
            <c:size val="5"/>
            <c:spPr>
              <a:solidFill>
                <a:schemeClr val="tx1"/>
              </a:solidFill>
              <a:ln w="9525">
                <a:solidFill>
                  <a:schemeClr val="accent2"/>
                </a:solidFill>
              </a:ln>
              <a:effectLst/>
            </c:spPr>
          </c:marker>
          <c:dPt>
            <c:idx val="4"/>
            <c:marker>
              <c:symbol val="circle"/>
              <c:size val="5"/>
              <c:spPr>
                <a:solidFill>
                  <a:schemeClr val="tx1"/>
                </a:solidFill>
                <a:ln w="9525">
                  <a:noFill/>
                </a:ln>
                <a:effectLst/>
              </c:spPr>
            </c:marker>
            <c:bubble3D val="0"/>
            <c:extLst>
              <c:ext xmlns:c16="http://schemas.microsoft.com/office/drawing/2014/chart" uri="{C3380CC4-5D6E-409C-BE32-E72D297353CC}">
                <c16:uniqueId val="{00000002-FCD5-4E92-8E25-011990E2B6DB}"/>
              </c:ext>
            </c:extLst>
          </c:dPt>
          <c:cat>
            <c:strRef>
              <c:f>PIVOT_TABLES!$G$19:$G$25</c:f>
              <c:strCache>
                <c:ptCount val="6"/>
                <c:pt idx="0">
                  <c:v>Adidas</c:v>
                </c:pt>
                <c:pt idx="1">
                  <c:v>New Balance</c:v>
                </c:pt>
                <c:pt idx="2">
                  <c:v>Nike</c:v>
                </c:pt>
                <c:pt idx="3">
                  <c:v>Puma</c:v>
                </c:pt>
                <c:pt idx="4">
                  <c:v>Reebok</c:v>
                </c:pt>
                <c:pt idx="5">
                  <c:v>Skechers</c:v>
                </c:pt>
              </c:strCache>
            </c:strRef>
          </c:cat>
          <c:val>
            <c:numRef>
              <c:f>PIVOT_TABLES!$H$19:$H$25</c:f>
              <c:numCache>
                <c:formatCode>0.00</c:formatCode>
                <c:ptCount val="6"/>
                <c:pt idx="0">
                  <c:v>135.59220183486241</c:v>
                </c:pt>
                <c:pt idx="1">
                  <c:v>147.77866141732284</c:v>
                </c:pt>
                <c:pt idx="2">
                  <c:v>130.96769230769229</c:v>
                </c:pt>
                <c:pt idx="3">
                  <c:v>134.36099999999999</c:v>
                </c:pt>
                <c:pt idx="4">
                  <c:v>137.65277777777774</c:v>
                </c:pt>
                <c:pt idx="5">
                  <c:v>137.67826771653537</c:v>
                </c:pt>
              </c:numCache>
            </c:numRef>
          </c:val>
          <c:smooth val="0"/>
          <c:extLst>
            <c:ext xmlns:c16="http://schemas.microsoft.com/office/drawing/2014/chart" uri="{C3380CC4-5D6E-409C-BE32-E72D297353CC}">
              <c16:uniqueId val="{00000000-FCD5-4E92-8E25-011990E2B6DB}"/>
            </c:ext>
          </c:extLst>
        </c:ser>
        <c:dLbls>
          <c:showLegendKey val="0"/>
          <c:showVal val="0"/>
          <c:showCatName val="0"/>
          <c:showSerName val="0"/>
          <c:showPercent val="0"/>
          <c:showBubbleSize val="0"/>
        </c:dLbls>
        <c:marker val="1"/>
        <c:smooth val="0"/>
        <c:axId val="1335772287"/>
        <c:axId val="1335777695"/>
      </c:lineChart>
      <c:catAx>
        <c:axId val="133577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1335777695"/>
        <c:crosses val="autoZero"/>
        <c:auto val="1"/>
        <c:lblAlgn val="ctr"/>
        <c:lblOffset val="100"/>
        <c:noMultiLvlLbl val="0"/>
      </c:catAx>
      <c:valAx>
        <c:axId val="1335777695"/>
        <c:scaling>
          <c:orientation val="minMax"/>
        </c:scaling>
        <c:delete val="0"/>
        <c:axPos val="l"/>
        <c:majorGridlines>
          <c:spPr>
            <a:ln w="9525" cap="flat" cmpd="sng" algn="ctr">
              <a:solidFill>
                <a:schemeClr val="bg2">
                  <a:lumMod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33577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[SHOES_SALES_EDA.xlsx]PIVOT_TABLES!PivotTable2</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13558589986378"/>
          <c:y val="0.16979072306227208"/>
          <c:w val="0.85245091199043155"/>
          <c:h val="0.61205119271595476"/>
        </c:manualLayout>
      </c:layout>
      <c:lineChart>
        <c:grouping val="standard"/>
        <c:varyColors val="0"/>
        <c:ser>
          <c:idx val="0"/>
          <c:order val="0"/>
          <c:tx>
            <c:strRef>
              <c:f>PIVOT_TABLES!$C$3</c:f>
              <c:strCache>
                <c:ptCount val="1"/>
                <c:pt idx="0">
                  <c:v>Total</c:v>
                </c:pt>
              </c:strCache>
            </c:strRef>
          </c:tx>
          <c:spPr>
            <a:ln w="28575" cap="rnd">
              <a:solidFill>
                <a:schemeClr val="accent2"/>
              </a:solidFill>
              <a:round/>
            </a:ln>
            <a:effectLst/>
          </c:spPr>
          <c:marker>
            <c:symbol val="circle"/>
            <c:size val="5"/>
            <c:spPr>
              <a:solidFill>
                <a:schemeClr val="tx1"/>
              </a:solidFill>
              <a:ln w="9525">
                <a:noFill/>
              </a:ln>
              <a:effectLst/>
            </c:spPr>
          </c:marker>
          <c:cat>
            <c:strRef>
              <c:f>PIVOT_TABLES!$B$4:$B$15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PIVOT_TABLES!$C$4:$C$15</c:f>
              <c:numCache>
                <c:formatCode>General</c:formatCode>
                <c:ptCount val="12"/>
                <c:pt idx="0">
                  <c:v>49</c:v>
                </c:pt>
                <c:pt idx="1">
                  <c:v>66</c:v>
                </c:pt>
                <c:pt idx="2">
                  <c:v>64</c:v>
                </c:pt>
                <c:pt idx="3">
                  <c:v>48</c:v>
                </c:pt>
                <c:pt idx="4">
                  <c:v>69</c:v>
                </c:pt>
                <c:pt idx="5">
                  <c:v>68</c:v>
                </c:pt>
                <c:pt idx="6">
                  <c:v>66</c:v>
                </c:pt>
                <c:pt idx="7">
                  <c:v>50</c:v>
                </c:pt>
                <c:pt idx="8">
                  <c:v>47</c:v>
                </c:pt>
                <c:pt idx="9">
                  <c:v>70</c:v>
                </c:pt>
                <c:pt idx="10">
                  <c:v>54</c:v>
                </c:pt>
                <c:pt idx="11">
                  <c:v>62</c:v>
                </c:pt>
              </c:numCache>
            </c:numRef>
          </c:val>
          <c:smooth val="0"/>
          <c:extLst>
            <c:ext xmlns:c16="http://schemas.microsoft.com/office/drawing/2014/chart" uri="{C3380CC4-5D6E-409C-BE32-E72D297353CC}">
              <c16:uniqueId val="{00000000-C238-4739-9D50-63611ED99446}"/>
            </c:ext>
          </c:extLst>
        </c:ser>
        <c:dLbls>
          <c:showLegendKey val="0"/>
          <c:showVal val="0"/>
          <c:showCatName val="0"/>
          <c:showSerName val="0"/>
          <c:showPercent val="0"/>
          <c:showBubbleSize val="0"/>
        </c:dLbls>
        <c:marker val="1"/>
        <c:smooth val="0"/>
        <c:axId val="998905439"/>
        <c:axId val="998910847"/>
      </c:lineChart>
      <c:catAx>
        <c:axId val="99890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8910847"/>
        <c:crosses val="autoZero"/>
        <c:auto val="1"/>
        <c:lblAlgn val="ctr"/>
        <c:lblOffset val="100"/>
        <c:noMultiLvlLbl val="0"/>
      </c:catAx>
      <c:valAx>
        <c:axId val="998910847"/>
        <c:scaling>
          <c:orientation val="minMax"/>
        </c:scaling>
        <c:delete val="0"/>
        <c:axPos val="l"/>
        <c:majorGridlines>
          <c:spPr>
            <a:ln w="9525" cap="flat" cmpd="sng" algn="ctr">
              <a:solidFill>
                <a:schemeClr val="bg2">
                  <a:lumMod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890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[SHOES_SALES_EDA.xlsx]PIVOT_TABLES!PivotTable5</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10703028972064"/>
          <c:y val="0.10887306803957712"/>
          <c:w val="0.68958380828894006"/>
          <c:h val="0.70658447146388748"/>
        </c:manualLayout>
      </c:layout>
      <c:barChart>
        <c:barDir val="bar"/>
        <c:grouping val="clustered"/>
        <c:varyColors val="0"/>
        <c:ser>
          <c:idx val="0"/>
          <c:order val="0"/>
          <c:tx>
            <c:strRef>
              <c:f>PIVOT_TABLES!$I$3</c:f>
              <c:strCache>
                <c:ptCount val="1"/>
                <c:pt idx="0">
                  <c:v>Total</c:v>
                </c:pt>
              </c:strCache>
            </c:strRef>
          </c:tx>
          <c:spPr>
            <a:solidFill>
              <a:schemeClr val="accent2"/>
            </a:solidFill>
            <a:ln>
              <a:noFill/>
            </a:ln>
            <a:effectLst/>
          </c:spPr>
          <c:invertIfNegative val="0"/>
          <c:cat>
            <c:strRef>
              <c:f>PIVOT_TABLES!$H$4:$H$16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PIVOT_TABLES!$I$4:$I$16</c:f>
              <c:numCache>
                <c:formatCode>General</c:formatCode>
                <c:ptCount val="12"/>
                <c:pt idx="0">
                  <c:v>77936.830000000016</c:v>
                </c:pt>
                <c:pt idx="1">
                  <c:v>91839.459999999963</c:v>
                </c:pt>
                <c:pt idx="2">
                  <c:v>88887.489999999991</c:v>
                </c:pt>
                <c:pt idx="3">
                  <c:v>73110.59</c:v>
                </c:pt>
                <c:pt idx="4">
                  <c:v>95162.579999999987</c:v>
                </c:pt>
                <c:pt idx="5">
                  <c:v>88564.749999999971</c:v>
                </c:pt>
                <c:pt idx="6">
                  <c:v>105753.82999999996</c:v>
                </c:pt>
                <c:pt idx="7">
                  <c:v>58483.41</c:v>
                </c:pt>
                <c:pt idx="8">
                  <c:v>68405.210000000021</c:v>
                </c:pt>
                <c:pt idx="9">
                  <c:v>100545.93999999997</c:v>
                </c:pt>
                <c:pt idx="10">
                  <c:v>95552.45</c:v>
                </c:pt>
                <c:pt idx="11">
                  <c:v>94231.840000000011</c:v>
                </c:pt>
              </c:numCache>
            </c:numRef>
          </c:val>
          <c:extLst>
            <c:ext xmlns:c16="http://schemas.microsoft.com/office/drawing/2014/chart" uri="{C3380CC4-5D6E-409C-BE32-E72D297353CC}">
              <c16:uniqueId val="{00000000-494B-4B2B-A680-3BFA0A7B957B}"/>
            </c:ext>
          </c:extLst>
        </c:ser>
        <c:dLbls>
          <c:showLegendKey val="0"/>
          <c:showVal val="0"/>
          <c:showCatName val="0"/>
          <c:showSerName val="0"/>
          <c:showPercent val="0"/>
          <c:showBubbleSize val="0"/>
        </c:dLbls>
        <c:gapWidth val="182"/>
        <c:axId val="976723295"/>
        <c:axId val="976720383"/>
      </c:barChart>
      <c:catAx>
        <c:axId val="97672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6720383"/>
        <c:crosses val="autoZero"/>
        <c:auto val="1"/>
        <c:lblAlgn val="ctr"/>
        <c:lblOffset val="100"/>
        <c:noMultiLvlLbl val="0"/>
      </c:catAx>
      <c:valAx>
        <c:axId val="976720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76723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[SHOES_SALES_EDA.xlsx]PIVOT_TABLES!PivotTable4</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08559544270827E-2"/>
          <c:y val="0.15330083252221288"/>
          <c:w val="0.84401830162054259"/>
          <c:h val="0.59201605505229282"/>
        </c:manualLayout>
      </c:layout>
      <c:lineChart>
        <c:grouping val="standard"/>
        <c:varyColors val="0"/>
        <c:ser>
          <c:idx val="0"/>
          <c:order val="0"/>
          <c:tx>
            <c:strRef>
              <c:f>PIVOT_TABLES!$F$3</c:f>
              <c:strCache>
                <c:ptCount val="1"/>
                <c:pt idx="0">
                  <c:v>Total</c:v>
                </c:pt>
              </c:strCache>
            </c:strRef>
          </c:tx>
          <c:spPr>
            <a:ln w="28575" cap="rnd">
              <a:solidFill>
                <a:schemeClr val="accent2"/>
              </a:solidFill>
              <a:round/>
            </a:ln>
            <a:effectLst/>
          </c:spPr>
          <c:marker>
            <c:symbol val="circle"/>
            <c:size val="5"/>
            <c:spPr>
              <a:solidFill>
                <a:schemeClr val="tx1"/>
              </a:solidFill>
              <a:ln w="9525">
                <a:noFill/>
              </a:ln>
              <a:effectLst/>
            </c:spPr>
          </c:marker>
          <c:cat>
            <c:strRef>
              <c:f>PIVOT_TABLES!$E$4:$E$16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PIVOT_TABLES!$F$4:$F$16</c:f>
              <c:numCache>
                <c:formatCode>General</c:formatCode>
                <c:ptCount val="12"/>
                <c:pt idx="0">
                  <c:v>530</c:v>
                </c:pt>
                <c:pt idx="1">
                  <c:v>679</c:v>
                </c:pt>
                <c:pt idx="2">
                  <c:v>646</c:v>
                </c:pt>
                <c:pt idx="3">
                  <c:v>499</c:v>
                </c:pt>
                <c:pt idx="4">
                  <c:v>684</c:v>
                </c:pt>
                <c:pt idx="5">
                  <c:v>683</c:v>
                </c:pt>
                <c:pt idx="6">
                  <c:v>805</c:v>
                </c:pt>
                <c:pt idx="7">
                  <c:v>439</c:v>
                </c:pt>
                <c:pt idx="8">
                  <c:v>512</c:v>
                </c:pt>
                <c:pt idx="9">
                  <c:v>710</c:v>
                </c:pt>
                <c:pt idx="10">
                  <c:v>622</c:v>
                </c:pt>
                <c:pt idx="11">
                  <c:v>710</c:v>
                </c:pt>
              </c:numCache>
            </c:numRef>
          </c:val>
          <c:smooth val="0"/>
          <c:extLst>
            <c:ext xmlns:c16="http://schemas.microsoft.com/office/drawing/2014/chart" uri="{C3380CC4-5D6E-409C-BE32-E72D297353CC}">
              <c16:uniqueId val="{00000000-7040-4639-AB19-5F16FDEA08DC}"/>
            </c:ext>
          </c:extLst>
        </c:ser>
        <c:dLbls>
          <c:showLegendKey val="0"/>
          <c:showVal val="0"/>
          <c:showCatName val="0"/>
          <c:showSerName val="0"/>
          <c:showPercent val="0"/>
          <c:showBubbleSize val="0"/>
        </c:dLbls>
        <c:marker val="1"/>
        <c:smooth val="0"/>
        <c:axId val="970994015"/>
        <c:axId val="971013567"/>
      </c:lineChart>
      <c:catAx>
        <c:axId val="97099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1013567"/>
        <c:crosses val="autoZero"/>
        <c:auto val="1"/>
        <c:lblAlgn val="ctr"/>
        <c:lblOffset val="100"/>
        <c:noMultiLvlLbl val="0"/>
      </c:catAx>
      <c:valAx>
        <c:axId val="971013567"/>
        <c:scaling>
          <c:orientation val="minMax"/>
        </c:scaling>
        <c:delete val="0"/>
        <c:axPos val="l"/>
        <c:majorGridlines>
          <c:spPr>
            <a:ln w="9525" cap="flat" cmpd="sng" algn="ctr">
              <a:solidFill>
                <a:schemeClr val="bg2">
                  <a:lumMod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099401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[SHOES_SALES_EDA.xlsx]PIVOT_TABLES!PivotTable13</c:name>
    <c:fmtId val="2"/>
  </c:pivotSource>
  <c:chart>
    <c:autoTitleDeleted val="1"/>
    <c:pivotFmts>
      <c:pivotFmt>
        <c:idx val="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a:sp3d/>
        </c:spPr>
      </c:pivotFmt>
      <c:pivotFmt>
        <c:idx val="10"/>
        <c:spPr>
          <a:solidFill>
            <a:schemeClr val="accent2"/>
          </a:solidFill>
          <a:ln>
            <a:noFill/>
          </a:ln>
          <a:effectLst>
            <a:outerShdw blurRad="254000" sx="102000" sy="102000" algn="ctr" rotWithShape="0">
              <a:prstClr val="black">
                <a:alpha val="20000"/>
              </a:prstClr>
            </a:outerShdw>
          </a:effectLst>
          <a:sp3d/>
        </c:spPr>
      </c:pivotFmt>
      <c:pivotFmt>
        <c:idx val="11"/>
        <c:spPr>
          <a:solidFill>
            <a:schemeClr val="accent2"/>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6858344240113294E-2"/>
          <c:y val="0.11566964528282425"/>
          <c:w val="0.95314165575988674"/>
          <c:h val="0.82000292857859869"/>
        </c:manualLayout>
      </c:layout>
      <c:pie3DChart>
        <c:varyColors val="1"/>
        <c:ser>
          <c:idx val="0"/>
          <c:order val="0"/>
          <c:tx>
            <c:strRef>
              <c:f>PIVOT_TABLES!$L$3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6A7-45F7-B8FD-337D39CFAD48}"/>
              </c:ext>
            </c:extLst>
          </c:dPt>
          <c:dPt>
            <c:idx val="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6A7-45F7-B8FD-337D39CFAD48}"/>
              </c:ext>
            </c:extLst>
          </c:dPt>
          <c:dPt>
            <c:idx val="2"/>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6A7-45F7-B8FD-337D39CFAD4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PIVOT_TABLES!$K$4:$K$7</c:f>
              <c:strCache>
                <c:ptCount val="3"/>
                <c:pt idx="0">
                  <c:v>Mall</c:v>
                </c:pt>
                <c:pt idx="1">
                  <c:v>Online</c:v>
                </c:pt>
                <c:pt idx="2">
                  <c:v>Retail Store</c:v>
                </c:pt>
              </c:strCache>
            </c:strRef>
          </c:cat>
          <c:val>
            <c:numRef>
              <c:f>PIVOT_TABLES!$L$4:$L$7</c:f>
              <c:numCache>
                <c:formatCode>General</c:formatCode>
                <c:ptCount val="3"/>
                <c:pt idx="0">
                  <c:v>330</c:v>
                </c:pt>
                <c:pt idx="1">
                  <c:v>331</c:v>
                </c:pt>
                <c:pt idx="2">
                  <c:v>339</c:v>
                </c:pt>
              </c:numCache>
            </c:numRef>
          </c:val>
          <c:extLst>
            <c:ext xmlns:c16="http://schemas.microsoft.com/office/drawing/2014/chart" uri="{C3380CC4-5D6E-409C-BE32-E72D297353CC}">
              <c16:uniqueId val="{00000006-26A7-45F7-B8FD-337D39CFAD48}"/>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[SHOES_SALES_EDA.xlsx]PIVOT_TABLES!PivotTable15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3681397933366438"/>
          <c:w val="0.96944444444444444"/>
          <c:h val="0.79711995460026952"/>
        </c:manualLayout>
      </c:layout>
      <c:pie3DChart>
        <c:varyColors val="1"/>
        <c:ser>
          <c:idx val="0"/>
          <c:order val="0"/>
          <c:tx>
            <c:strRef>
              <c:f>PIVOT_TABLES!$L$9</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7A6-4691-AAC3-804A1CE3449F}"/>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7A6-4691-AAC3-804A1CE3449F}"/>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7A6-4691-AAC3-804A1CE344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PIVOT_TABLES!$K$10:$K$13</c:f>
              <c:strCache>
                <c:ptCount val="3"/>
                <c:pt idx="0">
                  <c:v>Mall</c:v>
                </c:pt>
                <c:pt idx="1">
                  <c:v>Online</c:v>
                </c:pt>
                <c:pt idx="2">
                  <c:v>Retail Store</c:v>
                </c:pt>
              </c:strCache>
            </c:strRef>
          </c:cat>
          <c:val>
            <c:numRef>
              <c:f>PIVOT_TABLES!$L$10:$L$13</c:f>
              <c:numCache>
                <c:formatCode>General</c:formatCode>
                <c:ptCount val="3"/>
                <c:pt idx="0">
                  <c:v>479288.58000000019</c:v>
                </c:pt>
                <c:pt idx="1">
                  <c:v>467772.32000000012</c:v>
                </c:pt>
                <c:pt idx="2">
                  <c:v>506125.1299999996</c:v>
                </c:pt>
              </c:numCache>
            </c:numRef>
          </c:val>
          <c:extLst>
            <c:ext xmlns:c16="http://schemas.microsoft.com/office/drawing/2014/chart" uri="{C3380CC4-5D6E-409C-BE32-E72D297353CC}">
              <c16:uniqueId val="{00000006-D7A6-4691-AAC3-804A1CE3449F}"/>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[SHOES_SALES_EDA.xlsx]PIVOT_TABLES!PivotTable10</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6"/>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6"/>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6"/>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28021175775717E-2"/>
          <c:y val="0.13381301854490163"/>
          <c:w val="0.76603532000159313"/>
          <c:h val="0.6148550768015133"/>
        </c:manualLayout>
      </c:layout>
      <c:lineChart>
        <c:grouping val="stacked"/>
        <c:varyColors val="0"/>
        <c:ser>
          <c:idx val="0"/>
          <c:order val="0"/>
          <c:tx>
            <c:strRef>
              <c:f>PIVOT_TABLES!$B$26:$B$27</c:f>
              <c:strCache>
                <c:ptCount val="1"/>
                <c:pt idx="0">
                  <c:v>Boots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PIVOT_TABLES!$A$28:$A$34</c:f>
              <c:strCache>
                <c:ptCount val="6"/>
                <c:pt idx="0">
                  <c:v>Adidas</c:v>
                </c:pt>
                <c:pt idx="1">
                  <c:v>New Balance</c:v>
                </c:pt>
                <c:pt idx="2">
                  <c:v>Nike</c:v>
                </c:pt>
                <c:pt idx="3">
                  <c:v>Puma</c:v>
                </c:pt>
                <c:pt idx="4">
                  <c:v>Reebok</c:v>
                </c:pt>
                <c:pt idx="5">
                  <c:v>Skechers</c:v>
                </c:pt>
              </c:strCache>
            </c:strRef>
          </c:cat>
          <c:val>
            <c:numRef>
              <c:f>PIVOT_TABLES!$B$28:$B$34</c:f>
              <c:numCache>
                <c:formatCode>0</c:formatCode>
                <c:ptCount val="6"/>
                <c:pt idx="0">
                  <c:v>21</c:v>
                </c:pt>
                <c:pt idx="1">
                  <c:v>29</c:v>
                </c:pt>
                <c:pt idx="2">
                  <c:v>24</c:v>
                </c:pt>
                <c:pt idx="3">
                  <c:v>19</c:v>
                </c:pt>
                <c:pt idx="4">
                  <c:v>18</c:v>
                </c:pt>
                <c:pt idx="5">
                  <c:v>28</c:v>
                </c:pt>
              </c:numCache>
            </c:numRef>
          </c:val>
          <c:smooth val="0"/>
          <c:extLst>
            <c:ext xmlns:c16="http://schemas.microsoft.com/office/drawing/2014/chart" uri="{C3380CC4-5D6E-409C-BE32-E72D297353CC}">
              <c16:uniqueId val="{00000000-18B0-498F-9A15-85DB285B745D}"/>
            </c:ext>
          </c:extLst>
        </c:ser>
        <c:ser>
          <c:idx val="1"/>
          <c:order val="1"/>
          <c:tx>
            <c:strRef>
              <c:f>PIVOT_TABLES!$C$26:$C$27</c:f>
              <c:strCache>
                <c:ptCount val="1"/>
                <c:pt idx="0">
                  <c:v>Casual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PIVOT_TABLES!$A$28:$A$34</c:f>
              <c:strCache>
                <c:ptCount val="6"/>
                <c:pt idx="0">
                  <c:v>Adidas</c:v>
                </c:pt>
                <c:pt idx="1">
                  <c:v>New Balance</c:v>
                </c:pt>
                <c:pt idx="2">
                  <c:v>Nike</c:v>
                </c:pt>
                <c:pt idx="3">
                  <c:v>Puma</c:v>
                </c:pt>
                <c:pt idx="4">
                  <c:v>Reebok</c:v>
                </c:pt>
                <c:pt idx="5">
                  <c:v>Skechers</c:v>
                </c:pt>
              </c:strCache>
            </c:strRef>
          </c:cat>
          <c:val>
            <c:numRef>
              <c:f>PIVOT_TABLES!$C$28:$C$34</c:f>
              <c:numCache>
                <c:formatCode>0</c:formatCode>
                <c:ptCount val="6"/>
                <c:pt idx="0">
                  <c:v>19</c:v>
                </c:pt>
                <c:pt idx="1">
                  <c:v>22</c:v>
                </c:pt>
                <c:pt idx="2">
                  <c:v>19</c:v>
                </c:pt>
                <c:pt idx="3">
                  <c:v>19</c:v>
                </c:pt>
                <c:pt idx="4">
                  <c:v>23</c:v>
                </c:pt>
                <c:pt idx="5">
                  <c:v>17</c:v>
                </c:pt>
              </c:numCache>
            </c:numRef>
          </c:val>
          <c:smooth val="0"/>
          <c:extLst>
            <c:ext xmlns:c16="http://schemas.microsoft.com/office/drawing/2014/chart" uri="{C3380CC4-5D6E-409C-BE32-E72D297353CC}">
              <c16:uniqueId val="{00000001-18B0-498F-9A15-85DB285B745D}"/>
            </c:ext>
          </c:extLst>
        </c:ser>
        <c:ser>
          <c:idx val="2"/>
          <c:order val="2"/>
          <c:tx>
            <c:strRef>
              <c:f>PIVOT_TABLES!$D$26:$D$27</c:f>
              <c:strCache>
                <c:ptCount val="1"/>
                <c:pt idx="0">
                  <c:v>Formal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PIVOT_TABLES!$A$28:$A$34</c:f>
              <c:strCache>
                <c:ptCount val="6"/>
                <c:pt idx="0">
                  <c:v>Adidas</c:v>
                </c:pt>
                <c:pt idx="1">
                  <c:v>New Balance</c:v>
                </c:pt>
                <c:pt idx="2">
                  <c:v>Nike</c:v>
                </c:pt>
                <c:pt idx="3">
                  <c:v>Puma</c:v>
                </c:pt>
                <c:pt idx="4">
                  <c:v>Reebok</c:v>
                </c:pt>
                <c:pt idx="5">
                  <c:v>Skechers</c:v>
                </c:pt>
              </c:strCache>
            </c:strRef>
          </c:cat>
          <c:val>
            <c:numRef>
              <c:f>PIVOT_TABLES!$D$28:$D$34</c:f>
              <c:numCache>
                <c:formatCode>0</c:formatCode>
                <c:ptCount val="6"/>
                <c:pt idx="0">
                  <c:v>17</c:v>
                </c:pt>
                <c:pt idx="1">
                  <c:v>17</c:v>
                </c:pt>
                <c:pt idx="2">
                  <c:v>17</c:v>
                </c:pt>
                <c:pt idx="3">
                  <c:v>25</c:v>
                </c:pt>
                <c:pt idx="4">
                  <c:v>21</c:v>
                </c:pt>
                <c:pt idx="5">
                  <c:v>18</c:v>
                </c:pt>
              </c:numCache>
            </c:numRef>
          </c:val>
          <c:smooth val="0"/>
          <c:extLst>
            <c:ext xmlns:c16="http://schemas.microsoft.com/office/drawing/2014/chart" uri="{C3380CC4-5D6E-409C-BE32-E72D297353CC}">
              <c16:uniqueId val="{00000002-18B0-498F-9A15-85DB285B745D}"/>
            </c:ext>
          </c:extLst>
        </c:ser>
        <c:ser>
          <c:idx val="3"/>
          <c:order val="3"/>
          <c:tx>
            <c:strRef>
              <c:f>PIVOT_TABLES!$E$26:$E$27</c:f>
              <c:strCache>
                <c:ptCount val="1"/>
                <c:pt idx="0">
                  <c:v>Running</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PIVOT_TABLES!$A$28:$A$34</c:f>
              <c:strCache>
                <c:ptCount val="6"/>
                <c:pt idx="0">
                  <c:v>Adidas</c:v>
                </c:pt>
                <c:pt idx="1">
                  <c:v>New Balance</c:v>
                </c:pt>
                <c:pt idx="2">
                  <c:v>Nike</c:v>
                </c:pt>
                <c:pt idx="3">
                  <c:v>Puma</c:v>
                </c:pt>
                <c:pt idx="4">
                  <c:v>Reebok</c:v>
                </c:pt>
                <c:pt idx="5">
                  <c:v>Skechers</c:v>
                </c:pt>
              </c:strCache>
            </c:strRef>
          </c:cat>
          <c:val>
            <c:numRef>
              <c:f>PIVOT_TABLES!$E$28:$E$34</c:f>
              <c:numCache>
                <c:formatCode>0</c:formatCode>
                <c:ptCount val="6"/>
                <c:pt idx="0">
                  <c:v>16</c:v>
                </c:pt>
                <c:pt idx="1">
                  <c:v>17</c:v>
                </c:pt>
                <c:pt idx="2">
                  <c:v>9</c:v>
                </c:pt>
                <c:pt idx="3">
                  <c:v>19</c:v>
                </c:pt>
                <c:pt idx="4">
                  <c:v>22</c:v>
                </c:pt>
                <c:pt idx="5">
                  <c:v>27</c:v>
                </c:pt>
              </c:numCache>
            </c:numRef>
          </c:val>
          <c:smooth val="0"/>
          <c:extLst>
            <c:ext xmlns:c16="http://schemas.microsoft.com/office/drawing/2014/chart" uri="{C3380CC4-5D6E-409C-BE32-E72D297353CC}">
              <c16:uniqueId val="{00000003-18B0-498F-9A15-85DB285B745D}"/>
            </c:ext>
          </c:extLst>
        </c:ser>
        <c:ser>
          <c:idx val="4"/>
          <c:order val="4"/>
          <c:tx>
            <c:strRef>
              <c:f>PIVOT_TABLES!$F$26:$F$27</c:f>
              <c:strCache>
                <c:ptCount val="1"/>
                <c:pt idx="0">
                  <c:v>Sneakers</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PIVOT_TABLES!$A$28:$A$34</c:f>
              <c:strCache>
                <c:ptCount val="6"/>
                <c:pt idx="0">
                  <c:v>Adidas</c:v>
                </c:pt>
                <c:pt idx="1">
                  <c:v>New Balance</c:v>
                </c:pt>
                <c:pt idx="2">
                  <c:v>Nike</c:v>
                </c:pt>
                <c:pt idx="3">
                  <c:v>Puma</c:v>
                </c:pt>
                <c:pt idx="4">
                  <c:v>Reebok</c:v>
                </c:pt>
                <c:pt idx="5">
                  <c:v>Skechers</c:v>
                </c:pt>
              </c:strCache>
            </c:strRef>
          </c:cat>
          <c:val>
            <c:numRef>
              <c:f>PIVOT_TABLES!$F$28:$F$34</c:f>
              <c:numCache>
                <c:formatCode>0</c:formatCode>
                <c:ptCount val="6"/>
                <c:pt idx="0">
                  <c:v>21</c:v>
                </c:pt>
                <c:pt idx="1">
                  <c:v>25</c:v>
                </c:pt>
                <c:pt idx="2">
                  <c:v>24</c:v>
                </c:pt>
                <c:pt idx="3">
                  <c:v>16</c:v>
                </c:pt>
                <c:pt idx="4">
                  <c:v>20</c:v>
                </c:pt>
                <c:pt idx="5">
                  <c:v>14</c:v>
                </c:pt>
              </c:numCache>
            </c:numRef>
          </c:val>
          <c:smooth val="0"/>
          <c:extLst>
            <c:ext xmlns:c16="http://schemas.microsoft.com/office/drawing/2014/chart" uri="{C3380CC4-5D6E-409C-BE32-E72D297353CC}">
              <c16:uniqueId val="{00000004-18B0-498F-9A15-85DB285B745D}"/>
            </c:ext>
          </c:extLst>
        </c:ser>
        <c:ser>
          <c:idx val="5"/>
          <c:order val="5"/>
          <c:tx>
            <c:strRef>
              <c:f>PIVOT_TABLES!$G$26:$G$27</c:f>
              <c:strCache>
                <c:ptCount val="1"/>
                <c:pt idx="0">
                  <c:v>Sports</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PIVOT_TABLES!$A$28:$A$34</c:f>
              <c:strCache>
                <c:ptCount val="6"/>
                <c:pt idx="0">
                  <c:v>Adidas</c:v>
                </c:pt>
                <c:pt idx="1">
                  <c:v>New Balance</c:v>
                </c:pt>
                <c:pt idx="2">
                  <c:v>Nike</c:v>
                </c:pt>
                <c:pt idx="3">
                  <c:v>Puma</c:v>
                </c:pt>
                <c:pt idx="4">
                  <c:v>Reebok</c:v>
                </c:pt>
                <c:pt idx="5">
                  <c:v>Skechers</c:v>
                </c:pt>
              </c:strCache>
            </c:strRef>
          </c:cat>
          <c:val>
            <c:numRef>
              <c:f>PIVOT_TABLES!$G$28:$G$34</c:f>
              <c:numCache>
                <c:formatCode>0</c:formatCode>
                <c:ptCount val="6"/>
                <c:pt idx="0">
                  <c:v>15</c:v>
                </c:pt>
                <c:pt idx="1">
                  <c:v>17</c:v>
                </c:pt>
                <c:pt idx="2">
                  <c:v>11</c:v>
                </c:pt>
                <c:pt idx="3">
                  <c:v>22</c:v>
                </c:pt>
                <c:pt idx="4">
                  <c:v>22</c:v>
                </c:pt>
                <c:pt idx="5">
                  <c:v>23</c:v>
                </c:pt>
              </c:numCache>
            </c:numRef>
          </c:val>
          <c:smooth val="0"/>
          <c:extLst>
            <c:ext xmlns:c16="http://schemas.microsoft.com/office/drawing/2014/chart" uri="{C3380CC4-5D6E-409C-BE32-E72D297353CC}">
              <c16:uniqueId val="{00000005-18B0-498F-9A15-85DB285B745D}"/>
            </c:ext>
          </c:extLst>
        </c:ser>
        <c:dLbls>
          <c:showLegendKey val="0"/>
          <c:showVal val="0"/>
          <c:showCatName val="0"/>
          <c:showSerName val="0"/>
          <c:showPercent val="0"/>
          <c:showBubbleSize val="0"/>
        </c:dLbls>
        <c:marker val="1"/>
        <c:smooth val="0"/>
        <c:axId val="976682111"/>
        <c:axId val="976688351"/>
      </c:lineChart>
      <c:catAx>
        <c:axId val="97668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6688351"/>
        <c:crosses val="autoZero"/>
        <c:auto val="1"/>
        <c:lblAlgn val="ctr"/>
        <c:lblOffset val="100"/>
        <c:noMultiLvlLbl val="0"/>
      </c:catAx>
      <c:valAx>
        <c:axId val="976688351"/>
        <c:scaling>
          <c:orientation val="minMax"/>
        </c:scaling>
        <c:delete val="0"/>
        <c:axPos val="l"/>
        <c:majorGridlines>
          <c:spPr>
            <a:ln w="9525" cap="flat" cmpd="sng" algn="ctr">
              <a:solidFill>
                <a:schemeClr val="tx2">
                  <a:lumMod val="40000"/>
                  <a:lumOff val="6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76682111"/>
        <c:crosses val="autoZero"/>
        <c:crossBetween val="between"/>
      </c:valAx>
      <c:spPr>
        <a:noFill/>
        <a:ln>
          <a:noFill/>
        </a:ln>
        <a:effectLst/>
      </c:spPr>
    </c:plotArea>
    <c:legend>
      <c:legendPos val="r"/>
      <c:layout>
        <c:manualLayout>
          <c:xMode val="edge"/>
          <c:yMode val="edge"/>
          <c:x val="0.83826334117736889"/>
          <c:y val="0.21080378431294902"/>
          <c:w val="0.14775064740365851"/>
          <c:h val="0.57839197090576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5" Type="http://schemas.openxmlformats.org/officeDocument/2006/relationships/chart" Target="../charts/chart5.xml"/><Relationship Id="rId10" Type="http://schemas.microsoft.com/office/2017/06/relationships/model3d" Target="../media/model3d1.glb"/><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238124</xdr:colOff>
      <xdr:row>6</xdr:row>
      <xdr:rowOff>158750</xdr:rowOff>
    </xdr:from>
    <xdr:to>
      <xdr:col>19</xdr:col>
      <xdr:colOff>609599</xdr:colOff>
      <xdr:row>50</xdr:row>
      <xdr:rowOff>142874</xdr:rowOff>
    </xdr:to>
    <xdr:sp macro="" textlink="">
      <xdr:nvSpPr>
        <xdr:cNvPr id="2" name="TextBox 1">
          <a:extLst>
            <a:ext uri="{FF2B5EF4-FFF2-40B4-BE49-F238E27FC236}">
              <a16:creationId xmlns:a16="http://schemas.microsoft.com/office/drawing/2014/main" id="{9AFE557E-77A8-4A95-91F7-5E18E24E407C}"/>
            </a:ext>
          </a:extLst>
        </xdr:cNvPr>
        <xdr:cNvSpPr txBox="1"/>
      </xdr:nvSpPr>
      <xdr:spPr>
        <a:xfrm>
          <a:off x="238124" y="1349375"/>
          <a:ext cx="12059444" cy="8715374"/>
        </a:xfrm>
        <a:prstGeom prst="rect">
          <a:avLst/>
        </a:prstGeom>
        <a:solidFill>
          <a:srgbClr val="000099"/>
        </a:solidFill>
        <a:ln w="127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19051</xdr:colOff>
      <xdr:row>12</xdr:row>
      <xdr:rowOff>127792</xdr:rowOff>
    </xdr:from>
    <xdr:to>
      <xdr:col>4</xdr:col>
      <xdr:colOff>457201</xdr:colOff>
      <xdr:row>14</xdr:row>
      <xdr:rowOff>175417</xdr:rowOff>
    </xdr:to>
    <xdr:sp macro="" textlink="">
      <xdr:nvSpPr>
        <xdr:cNvPr id="3" name="TextBox 2">
          <a:extLst>
            <a:ext uri="{FF2B5EF4-FFF2-40B4-BE49-F238E27FC236}">
              <a16:creationId xmlns:a16="http://schemas.microsoft.com/office/drawing/2014/main" id="{362183F3-B9FB-44FD-AE44-0586B1293175}"/>
            </a:ext>
          </a:extLst>
        </xdr:cNvPr>
        <xdr:cNvSpPr txBox="1"/>
      </xdr:nvSpPr>
      <xdr:spPr>
        <a:xfrm>
          <a:off x="1249364" y="2509042"/>
          <a:ext cx="1668462" cy="444500"/>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sng" strike="noStrike">
              <a:solidFill>
                <a:schemeClr val="dk1"/>
              </a:solidFill>
              <a:effectLst/>
              <a:latin typeface="+mn-lt"/>
              <a:ea typeface="+mn-ea"/>
              <a:cs typeface="+mn-cs"/>
            </a:rPr>
            <a:t>TOTAL ORDERS</a:t>
          </a:r>
          <a:r>
            <a:rPr lang="en-IN" sz="1200" b="1" u="sng"/>
            <a:t> </a:t>
          </a:r>
        </a:p>
      </xdr:txBody>
    </xdr:sp>
    <xdr:clientData/>
  </xdr:twoCellAnchor>
  <xdr:twoCellAnchor>
    <xdr:from>
      <xdr:col>11</xdr:col>
      <xdr:colOff>190499</xdr:colOff>
      <xdr:row>12</xdr:row>
      <xdr:rowOff>108744</xdr:rowOff>
    </xdr:from>
    <xdr:to>
      <xdr:col>13</xdr:col>
      <xdr:colOff>600075</xdr:colOff>
      <xdr:row>14</xdr:row>
      <xdr:rowOff>146843</xdr:rowOff>
    </xdr:to>
    <xdr:sp macro="" textlink="">
      <xdr:nvSpPr>
        <xdr:cNvPr id="4" name="TextBox 3">
          <a:extLst>
            <a:ext uri="{FF2B5EF4-FFF2-40B4-BE49-F238E27FC236}">
              <a16:creationId xmlns:a16="http://schemas.microsoft.com/office/drawing/2014/main" id="{FB47EC05-96E3-4687-BEE0-07C47323382C}"/>
            </a:ext>
          </a:extLst>
        </xdr:cNvPr>
        <xdr:cNvSpPr txBox="1"/>
      </xdr:nvSpPr>
      <xdr:spPr>
        <a:xfrm>
          <a:off x="6957218" y="2489994"/>
          <a:ext cx="1639888" cy="434974"/>
        </a:xfrm>
        <a:prstGeom prst="rect">
          <a:avLst/>
        </a:prstGeom>
        <a:solidFill>
          <a:schemeClr val="accent2">
            <a:lumMod val="7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sng" strike="noStrike">
              <a:solidFill>
                <a:schemeClr val="dk1"/>
              </a:solidFill>
              <a:effectLst/>
              <a:latin typeface="+mn-lt"/>
              <a:ea typeface="+mn-ea"/>
              <a:cs typeface="+mn-cs"/>
            </a:rPr>
            <a:t>TOTAL REVENUE</a:t>
          </a:r>
          <a:r>
            <a:rPr lang="en-IN" sz="1200" b="1" u="sng"/>
            <a:t> </a:t>
          </a:r>
        </a:p>
      </xdr:txBody>
    </xdr:sp>
    <xdr:clientData/>
  </xdr:twoCellAnchor>
  <xdr:twoCellAnchor>
    <xdr:from>
      <xdr:col>14</xdr:col>
      <xdr:colOff>409574</xdr:colOff>
      <xdr:row>12</xdr:row>
      <xdr:rowOff>108744</xdr:rowOff>
    </xdr:from>
    <xdr:to>
      <xdr:col>17</xdr:col>
      <xdr:colOff>209549</xdr:colOff>
      <xdr:row>14</xdr:row>
      <xdr:rowOff>99219</xdr:rowOff>
    </xdr:to>
    <xdr:sp macro="" textlink="">
      <xdr:nvSpPr>
        <xdr:cNvPr id="5" name="TextBox 4">
          <a:extLst>
            <a:ext uri="{FF2B5EF4-FFF2-40B4-BE49-F238E27FC236}">
              <a16:creationId xmlns:a16="http://schemas.microsoft.com/office/drawing/2014/main" id="{8EA7CA5D-4B2E-4DCD-9A52-90CE560978F0}"/>
            </a:ext>
          </a:extLst>
        </xdr:cNvPr>
        <xdr:cNvSpPr txBox="1"/>
      </xdr:nvSpPr>
      <xdr:spPr>
        <a:xfrm>
          <a:off x="9021762" y="2489994"/>
          <a:ext cx="1645443" cy="387350"/>
        </a:xfrm>
        <a:prstGeom prst="rect">
          <a:avLst/>
        </a:prstGeom>
        <a:solidFill>
          <a:schemeClr val="accent2">
            <a:lumMod val="7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solidFill>
                <a:schemeClr val="dk1"/>
              </a:solidFill>
              <a:effectLst/>
              <a:latin typeface="+mn-lt"/>
              <a:ea typeface="+mn-ea"/>
              <a:cs typeface="+mn-cs"/>
            </a:rPr>
            <a:t>AVG</a:t>
          </a:r>
          <a:r>
            <a:rPr lang="en-IN" sz="1200" b="1" i="0" u="none" strike="noStrike" baseline="0">
              <a:solidFill>
                <a:schemeClr val="dk1"/>
              </a:solidFill>
              <a:effectLst/>
              <a:latin typeface="+mn-lt"/>
              <a:ea typeface="+mn-ea"/>
              <a:cs typeface="+mn-cs"/>
            </a:rPr>
            <a:t> UNIT PRICE</a:t>
          </a:r>
          <a:r>
            <a:rPr lang="en-IN" sz="1200"/>
            <a:t> </a:t>
          </a:r>
        </a:p>
      </xdr:txBody>
    </xdr:sp>
    <xdr:clientData/>
  </xdr:twoCellAnchor>
  <xdr:twoCellAnchor>
    <xdr:from>
      <xdr:col>6</xdr:col>
      <xdr:colOff>114300</xdr:colOff>
      <xdr:row>12</xdr:row>
      <xdr:rowOff>108743</xdr:rowOff>
    </xdr:from>
    <xdr:to>
      <xdr:col>9</xdr:col>
      <xdr:colOff>485775</xdr:colOff>
      <xdr:row>14</xdr:row>
      <xdr:rowOff>146843</xdr:rowOff>
    </xdr:to>
    <xdr:sp macro="" textlink="">
      <xdr:nvSpPr>
        <xdr:cNvPr id="6" name="TextBox 5">
          <a:extLst>
            <a:ext uri="{FF2B5EF4-FFF2-40B4-BE49-F238E27FC236}">
              <a16:creationId xmlns:a16="http://schemas.microsoft.com/office/drawing/2014/main" id="{9C5D7B45-27E1-4823-8B46-4A19037C9694}"/>
            </a:ext>
          </a:extLst>
        </xdr:cNvPr>
        <xdr:cNvSpPr txBox="1"/>
      </xdr:nvSpPr>
      <xdr:spPr>
        <a:xfrm>
          <a:off x="3805238" y="2489993"/>
          <a:ext cx="2216943" cy="434975"/>
        </a:xfrm>
        <a:prstGeom prst="rect">
          <a:avLst/>
        </a:prstGeom>
        <a:solidFill>
          <a:schemeClr val="accent2">
            <a:lumMod val="7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sng" strike="noStrike">
              <a:solidFill>
                <a:schemeClr val="dk1"/>
              </a:solidFill>
              <a:effectLst/>
              <a:latin typeface="+mn-lt"/>
              <a:ea typeface="+mn-ea"/>
              <a:cs typeface="+mn-cs"/>
            </a:rPr>
            <a:t>TOTAL SOLD QUANTITY</a:t>
          </a:r>
          <a:r>
            <a:rPr lang="en-IN" sz="1200" b="1" u="sng"/>
            <a:t> </a:t>
          </a:r>
        </a:p>
      </xdr:txBody>
    </xdr:sp>
    <xdr:clientData/>
  </xdr:twoCellAnchor>
  <xdr:twoCellAnchor>
    <xdr:from>
      <xdr:col>2</xdr:col>
      <xdr:colOff>333375</xdr:colOff>
      <xdr:row>14</xdr:row>
      <xdr:rowOff>197558</xdr:rowOff>
    </xdr:from>
    <xdr:to>
      <xdr:col>4</xdr:col>
      <xdr:colOff>142875</xdr:colOff>
      <xdr:row>16</xdr:row>
      <xdr:rowOff>108743</xdr:rowOff>
    </xdr:to>
    <xdr:sp macro="" textlink="">
      <xdr:nvSpPr>
        <xdr:cNvPr id="7" name="TextBox 6">
          <a:extLst>
            <a:ext uri="{FF2B5EF4-FFF2-40B4-BE49-F238E27FC236}">
              <a16:creationId xmlns:a16="http://schemas.microsoft.com/office/drawing/2014/main" id="{91767718-6104-4865-B94B-45F2B6AF56BC}"/>
            </a:ext>
          </a:extLst>
        </xdr:cNvPr>
        <xdr:cNvSpPr txBox="1"/>
      </xdr:nvSpPr>
      <xdr:spPr>
        <a:xfrm>
          <a:off x="1563688" y="2975683"/>
          <a:ext cx="1039812" cy="308060"/>
        </a:xfrm>
        <a:prstGeom prst="rect">
          <a:avLst/>
        </a:prstGeom>
        <a:solidFill>
          <a:schemeClr val="accent2">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chemeClr val="dk1"/>
              </a:solidFill>
              <a:effectLst/>
              <a:latin typeface="+mn-lt"/>
              <a:ea typeface="+mn-ea"/>
              <a:cs typeface="+mn-cs"/>
            </a:rPr>
            <a:t>1000</a:t>
          </a:r>
          <a:r>
            <a:rPr lang="en-IN" sz="2000" b="1" u="none"/>
            <a:t> </a:t>
          </a:r>
        </a:p>
      </xdr:txBody>
    </xdr:sp>
    <xdr:clientData/>
  </xdr:twoCellAnchor>
  <xdr:twoCellAnchor>
    <xdr:from>
      <xdr:col>6</xdr:col>
      <xdr:colOff>428625</xdr:colOff>
      <xdr:row>14</xdr:row>
      <xdr:rowOff>187777</xdr:rowOff>
    </xdr:from>
    <xdr:to>
      <xdr:col>9</xdr:col>
      <xdr:colOff>158948</xdr:colOff>
      <xdr:row>16</xdr:row>
      <xdr:rowOff>81755</xdr:rowOff>
    </xdr:to>
    <xdr:sp macro="" textlink="">
      <xdr:nvSpPr>
        <xdr:cNvPr id="8" name="TextBox 7">
          <a:extLst>
            <a:ext uri="{FF2B5EF4-FFF2-40B4-BE49-F238E27FC236}">
              <a16:creationId xmlns:a16="http://schemas.microsoft.com/office/drawing/2014/main" id="{21CE7AD5-D499-49E1-93C3-82BB722E73EF}"/>
            </a:ext>
          </a:extLst>
        </xdr:cNvPr>
        <xdr:cNvSpPr txBox="1"/>
      </xdr:nvSpPr>
      <xdr:spPr>
        <a:xfrm>
          <a:off x="4119563" y="2965902"/>
          <a:ext cx="1575791" cy="290853"/>
        </a:xfrm>
        <a:prstGeom prst="rect">
          <a:avLst/>
        </a:prstGeom>
        <a:solidFill>
          <a:schemeClr val="accent2">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0" u="none" strike="noStrike">
              <a:solidFill>
                <a:schemeClr val="dk1"/>
              </a:solidFill>
              <a:effectLst/>
              <a:latin typeface="+mn-lt"/>
              <a:ea typeface="+mn-ea"/>
              <a:cs typeface="+mn-cs"/>
            </a:rPr>
            <a:t>10584</a:t>
          </a:r>
          <a:r>
            <a:rPr lang="en-IN" sz="1800" b="1"/>
            <a:t> </a:t>
          </a:r>
        </a:p>
      </xdr:txBody>
    </xdr:sp>
    <xdr:clientData/>
  </xdr:twoCellAnchor>
  <xdr:twoCellAnchor>
    <xdr:from>
      <xdr:col>11</xdr:col>
      <xdr:colOff>428625</xdr:colOff>
      <xdr:row>14</xdr:row>
      <xdr:rowOff>196271</xdr:rowOff>
    </xdr:from>
    <xdr:to>
      <xdr:col>13</xdr:col>
      <xdr:colOff>381298</xdr:colOff>
      <xdr:row>16</xdr:row>
      <xdr:rowOff>108744</xdr:rowOff>
    </xdr:to>
    <xdr:sp macro="" textlink="">
      <xdr:nvSpPr>
        <xdr:cNvPr id="9" name="TextBox 8">
          <a:extLst>
            <a:ext uri="{FF2B5EF4-FFF2-40B4-BE49-F238E27FC236}">
              <a16:creationId xmlns:a16="http://schemas.microsoft.com/office/drawing/2014/main" id="{15BDE3C3-80A5-4B61-871C-63AEB35AE4B0}"/>
            </a:ext>
          </a:extLst>
        </xdr:cNvPr>
        <xdr:cNvSpPr txBox="1"/>
      </xdr:nvSpPr>
      <xdr:spPr>
        <a:xfrm>
          <a:off x="7195344" y="2974396"/>
          <a:ext cx="1182985" cy="309348"/>
        </a:xfrm>
        <a:prstGeom prst="rect">
          <a:avLst/>
        </a:prstGeom>
        <a:solidFill>
          <a:schemeClr val="accent2">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dk1"/>
              </a:solidFill>
              <a:effectLst/>
              <a:latin typeface="+mn-lt"/>
              <a:ea typeface="+mn-ea"/>
              <a:cs typeface="+mn-cs"/>
            </a:rPr>
            <a:t> </a:t>
          </a:r>
          <a:r>
            <a:rPr lang="en-IN" sz="1200" b="1" i="0" u="none" strike="noStrike">
              <a:solidFill>
                <a:schemeClr val="dk1"/>
              </a:solidFill>
              <a:effectLst/>
              <a:latin typeface="+mn-lt"/>
              <a:ea typeface="+mn-ea"/>
              <a:cs typeface="+mn-cs"/>
            </a:rPr>
            <a:t>$ 14,53,186.03 </a:t>
          </a:r>
          <a:endParaRPr lang="en-IN" sz="1200" b="1"/>
        </a:p>
      </xdr:txBody>
    </xdr:sp>
    <xdr:clientData/>
  </xdr:twoCellAnchor>
  <xdr:twoCellAnchor>
    <xdr:from>
      <xdr:col>15</xdr:col>
      <xdr:colOff>85726</xdr:colOff>
      <xdr:row>14</xdr:row>
      <xdr:rowOff>148902</xdr:rowOff>
    </xdr:from>
    <xdr:to>
      <xdr:col>16</xdr:col>
      <xdr:colOff>571500</xdr:colOff>
      <xdr:row>16</xdr:row>
      <xdr:rowOff>108743</xdr:rowOff>
    </xdr:to>
    <xdr:sp macro="" textlink="">
      <xdr:nvSpPr>
        <xdr:cNvPr id="10" name="TextBox 9">
          <a:extLst>
            <a:ext uri="{FF2B5EF4-FFF2-40B4-BE49-F238E27FC236}">
              <a16:creationId xmlns:a16="http://schemas.microsoft.com/office/drawing/2014/main" id="{5D4450E5-B902-4FE0-AC20-EF472D7218EC}"/>
            </a:ext>
          </a:extLst>
        </xdr:cNvPr>
        <xdr:cNvSpPr txBox="1"/>
      </xdr:nvSpPr>
      <xdr:spPr>
        <a:xfrm>
          <a:off x="9313070" y="2927027"/>
          <a:ext cx="1100930" cy="356716"/>
        </a:xfrm>
        <a:prstGeom prst="rect">
          <a:avLst/>
        </a:prstGeom>
        <a:solidFill>
          <a:schemeClr val="accent2">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 $ 137.86 </a:t>
          </a:r>
          <a:endParaRPr lang="en-IN" sz="1600" b="1"/>
        </a:p>
      </xdr:txBody>
    </xdr:sp>
    <xdr:clientData/>
  </xdr:twoCellAnchor>
  <xdr:twoCellAnchor>
    <xdr:from>
      <xdr:col>0</xdr:col>
      <xdr:colOff>323850</xdr:colOff>
      <xdr:row>17</xdr:row>
      <xdr:rowOff>57151</xdr:rowOff>
    </xdr:from>
    <xdr:to>
      <xdr:col>5</xdr:col>
      <xdr:colOff>228600</xdr:colOff>
      <xdr:row>26</xdr:row>
      <xdr:rowOff>152400</xdr:rowOff>
    </xdr:to>
    <xdr:graphicFrame macro="">
      <xdr:nvGraphicFramePr>
        <xdr:cNvPr id="11" name="Chart 10">
          <a:extLst>
            <a:ext uri="{FF2B5EF4-FFF2-40B4-BE49-F238E27FC236}">
              <a16:creationId xmlns:a16="http://schemas.microsoft.com/office/drawing/2014/main" id="{8660E67B-251F-4B13-956F-F61DD39B0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314324</xdr:colOff>
      <xdr:row>17</xdr:row>
      <xdr:rowOff>76200</xdr:rowOff>
    </xdr:from>
    <xdr:to>
      <xdr:col>10</xdr:col>
      <xdr:colOff>457199</xdr:colOff>
      <xdr:row>26</xdr:row>
      <xdr:rowOff>133350</xdr:rowOff>
    </xdr:to>
    <xdr:graphicFrame macro="">
      <xdr:nvGraphicFramePr>
        <xdr:cNvPr id="12" name="Chart 11">
          <a:extLst>
            <a:ext uri="{FF2B5EF4-FFF2-40B4-BE49-F238E27FC236}">
              <a16:creationId xmlns:a16="http://schemas.microsoft.com/office/drawing/2014/main" id="{2B1F9C21-C779-4425-9F38-896260FC9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438149</xdr:colOff>
      <xdr:row>17</xdr:row>
      <xdr:rowOff>66675</xdr:rowOff>
    </xdr:from>
    <xdr:to>
      <xdr:col>19</xdr:col>
      <xdr:colOff>475874</xdr:colOff>
      <xdr:row>37</xdr:row>
      <xdr:rowOff>123825</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72E6B48E-AA32-4392-BA70-4794147190C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895805" y="3440113"/>
              <a:ext cx="1268038" cy="402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323850</xdr:colOff>
      <xdr:row>27</xdr:row>
      <xdr:rowOff>19049</xdr:rowOff>
    </xdr:from>
    <xdr:to>
      <xdr:col>5</xdr:col>
      <xdr:colOff>228600</xdr:colOff>
      <xdr:row>38</xdr:row>
      <xdr:rowOff>95250</xdr:rowOff>
    </xdr:to>
    <xdr:graphicFrame macro="">
      <xdr:nvGraphicFramePr>
        <xdr:cNvPr id="14" name="Chart 13">
          <a:extLst>
            <a:ext uri="{FF2B5EF4-FFF2-40B4-BE49-F238E27FC236}">
              <a16:creationId xmlns:a16="http://schemas.microsoft.com/office/drawing/2014/main" id="{38F872C0-E81B-4016-9D16-94C006774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304799</xdr:colOff>
      <xdr:row>27</xdr:row>
      <xdr:rowOff>28575</xdr:rowOff>
    </xdr:from>
    <xdr:to>
      <xdr:col>10</xdr:col>
      <xdr:colOff>466724</xdr:colOff>
      <xdr:row>38</xdr:row>
      <xdr:rowOff>85725</xdr:rowOff>
    </xdr:to>
    <xdr:graphicFrame macro="">
      <xdr:nvGraphicFramePr>
        <xdr:cNvPr id="16" name="Chart 15">
          <a:extLst>
            <a:ext uri="{FF2B5EF4-FFF2-40B4-BE49-F238E27FC236}">
              <a16:creationId xmlns:a16="http://schemas.microsoft.com/office/drawing/2014/main" id="{B3384000-7FE8-4BD1-B0CE-9B96D2F4B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552449</xdr:colOff>
      <xdr:row>17</xdr:row>
      <xdr:rowOff>76198</xdr:rowOff>
    </xdr:from>
    <xdr:to>
      <xdr:col>17</xdr:col>
      <xdr:colOff>228600</xdr:colOff>
      <xdr:row>26</xdr:row>
      <xdr:rowOff>142875</xdr:rowOff>
    </xdr:to>
    <xdr:graphicFrame macro="">
      <xdr:nvGraphicFramePr>
        <xdr:cNvPr id="17" name="Chart 16">
          <a:extLst>
            <a:ext uri="{FF2B5EF4-FFF2-40B4-BE49-F238E27FC236}">
              <a16:creationId xmlns:a16="http://schemas.microsoft.com/office/drawing/2014/main" id="{47C45DF2-F81C-4272-93B8-4CA3720FC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542925</xdr:colOff>
      <xdr:row>27</xdr:row>
      <xdr:rowOff>38099</xdr:rowOff>
    </xdr:from>
    <xdr:to>
      <xdr:col>17</xdr:col>
      <xdr:colOff>228599</xdr:colOff>
      <xdr:row>38</xdr:row>
      <xdr:rowOff>85725</xdr:rowOff>
    </xdr:to>
    <xdr:graphicFrame macro="">
      <xdr:nvGraphicFramePr>
        <xdr:cNvPr id="18" name="Chart 17">
          <a:extLst>
            <a:ext uri="{FF2B5EF4-FFF2-40B4-BE49-F238E27FC236}">
              <a16:creationId xmlns:a16="http://schemas.microsoft.com/office/drawing/2014/main" id="{FA2CB186-059A-41AB-8782-B6668FB47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323849</xdr:colOff>
      <xdr:row>38</xdr:row>
      <xdr:rowOff>152398</xdr:rowOff>
    </xdr:from>
    <xdr:to>
      <xdr:col>5</xdr:col>
      <xdr:colOff>228600</xdr:colOff>
      <xdr:row>50</xdr:row>
      <xdr:rowOff>38100</xdr:rowOff>
    </xdr:to>
    <xdr:graphicFrame macro="">
      <xdr:nvGraphicFramePr>
        <xdr:cNvPr id="19" name="Chart 18">
          <a:extLst>
            <a:ext uri="{FF2B5EF4-FFF2-40B4-BE49-F238E27FC236}">
              <a16:creationId xmlns:a16="http://schemas.microsoft.com/office/drawing/2014/main" id="{595DA3A3-66FB-4C93-ADD6-56AD6591F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314325</xdr:colOff>
      <xdr:row>38</xdr:row>
      <xdr:rowOff>161925</xdr:rowOff>
    </xdr:from>
    <xdr:to>
      <xdr:col>10</xdr:col>
      <xdr:colOff>495300</xdr:colOff>
      <xdr:row>50</xdr:row>
      <xdr:rowOff>28576</xdr:rowOff>
    </xdr:to>
    <xdr:graphicFrame macro="">
      <xdr:nvGraphicFramePr>
        <xdr:cNvPr id="22" name="Chart 21">
          <a:extLst>
            <a:ext uri="{FF2B5EF4-FFF2-40B4-BE49-F238E27FC236}">
              <a16:creationId xmlns:a16="http://schemas.microsoft.com/office/drawing/2014/main" id="{CE726CA5-DA86-49DF-8879-3710DB2C7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542923</xdr:colOff>
      <xdr:row>38</xdr:row>
      <xdr:rowOff>152398</xdr:rowOff>
    </xdr:from>
    <xdr:to>
      <xdr:col>19</xdr:col>
      <xdr:colOff>504824</xdr:colOff>
      <xdr:row>50</xdr:row>
      <xdr:rowOff>38100</xdr:rowOff>
    </xdr:to>
    <xdr:graphicFrame macro="">
      <xdr:nvGraphicFramePr>
        <xdr:cNvPr id="23" name="Chart 22">
          <a:extLst>
            <a:ext uri="{FF2B5EF4-FFF2-40B4-BE49-F238E27FC236}">
              <a16:creationId xmlns:a16="http://schemas.microsoft.com/office/drawing/2014/main" id="{9B7D97E9-D3E6-4067-9426-9ED6512A1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413349</xdr:colOff>
      <xdr:row>7</xdr:row>
      <xdr:rowOff>125801</xdr:rowOff>
    </xdr:from>
    <xdr:to>
      <xdr:col>19</xdr:col>
      <xdr:colOff>44929</xdr:colOff>
      <xdr:row>11</xdr:row>
      <xdr:rowOff>134787</xdr:rowOff>
    </xdr:to>
    <xdr:sp macro="" textlink="">
      <xdr:nvSpPr>
        <xdr:cNvPr id="24" name="TextBox 23">
          <a:extLst>
            <a:ext uri="{FF2B5EF4-FFF2-40B4-BE49-F238E27FC236}">
              <a16:creationId xmlns:a16="http://schemas.microsoft.com/office/drawing/2014/main" id="{B17A8FC1-D961-4619-9713-D000C7D9FF0F}"/>
            </a:ext>
          </a:extLst>
        </xdr:cNvPr>
        <xdr:cNvSpPr txBox="1"/>
      </xdr:nvSpPr>
      <xdr:spPr>
        <a:xfrm>
          <a:off x="413349" y="1446721"/>
          <a:ext cx="11241297" cy="763797"/>
        </a:xfrm>
        <a:prstGeom prst="rect">
          <a:avLst/>
        </a:prstGeom>
        <a:solidFill>
          <a:schemeClr val="accent2"/>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b="1"/>
            <a:t>SHOE</a:t>
          </a:r>
          <a:r>
            <a:rPr lang="en-IN" sz="4400" b="1" baseline="0"/>
            <a:t> SALES STORE ANALYSIS | SUMMARY</a:t>
          </a:r>
          <a:endParaRPr lang="en-IN" sz="4400" b="1"/>
        </a:p>
      </xdr:txBody>
    </xdr:sp>
    <xdr:clientData/>
  </xdr:twoCellAnchor>
  <xdr:twoCellAnchor>
    <xdr:from>
      <xdr:col>0</xdr:col>
      <xdr:colOff>442104</xdr:colOff>
      <xdr:row>7</xdr:row>
      <xdr:rowOff>177734</xdr:rowOff>
    </xdr:from>
    <xdr:to>
      <xdr:col>1</xdr:col>
      <xdr:colOff>488753</xdr:colOff>
      <xdr:row>11</xdr:row>
      <xdr:rowOff>26959</xdr:rowOff>
    </xdr:to>
    <mc:AlternateContent xmlns:mc="http://schemas.openxmlformats.org/markup-compatibility/2006">
      <mc:Choice xmlns:am3d="http://schemas.microsoft.com/office/drawing/2017/model3d" Requires="am3d">
        <xdr:graphicFrame macro="">
          <xdr:nvGraphicFramePr>
            <xdr:cNvPr id="26" name="3D Model 25" descr="Grunge Sneakers">
              <a:extLst>
                <a:ext uri="{FF2B5EF4-FFF2-40B4-BE49-F238E27FC236}">
                  <a16:creationId xmlns:a16="http://schemas.microsoft.com/office/drawing/2014/main" id="{909EF4E0-D5C0-4CE3-A482-D50EBAD78E7C}"/>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0">
                <am3d:spPr>
                  <a:xfrm>
                    <a:off x="0" y="0"/>
                    <a:ext cx="649899" cy="611225"/>
                  </a:xfrm>
                  <a:prstGeom prst="rect">
                    <a:avLst/>
                  </a:prstGeom>
                </am3d:spPr>
                <am3d:camera>
                  <am3d:pos x="0" y="0" z="67501729"/>
                  <am3d:up dx="0" dy="36000000" dz="0"/>
                  <am3d:lookAt x="0" y="0" z="0"/>
                  <am3d:perspective fov="2700000"/>
                </am3d:camera>
                <am3d:trans>
                  <am3d:meterPerModelUnit n="3503305" d="1000000"/>
                  <am3d:preTrans dx="-556" dy="-7435124" dz="-4150653"/>
                  <am3d:scale>
                    <am3d:sx n="1000000" d="1000000"/>
                    <am3d:sy n="1000000" d="1000000"/>
                    <am3d:sz n="1000000" d="1000000"/>
                  </am3d:scale>
                  <am3d:rot ax="5400000" ay="3600000" az="5400000"/>
                  <am3d:postTrans dx="0" dy="0" dz="0"/>
                </am3d:trans>
                <am3d:raster rName="Office3DRenderer" rVer="16.0.8326">
                  <am3d:blip r:embed="rId11"/>
                </am3d:raster>
                <am3d:objViewport viewportSz="783702"/>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6" name="3D Model 25" descr="Grunge Sneakers">
              <a:extLst>
                <a:ext uri="{FF2B5EF4-FFF2-40B4-BE49-F238E27FC236}">
                  <a16:creationId xmlns:a16="http://schemas.microsoft.com/office/drawing/2014/main" id="{909EF4E0-D5C0-4CE3-A482-D50EBAD78E7C}"/>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1"/>
            <a:stretch>
              <a:fillRect/>
            </a:stretch>
          </xdr:blipFill>
          <xdr:spPr>
            <a:xfrm>
              <a:off x="442104" y="1511234"/>
              <a:ext cx="649899" cy="611225"/>
            </a:xfrm>
            <a:prstGeom prst="rect">
              <a:avLst/>
            </a:prstGeom>
          </xdr:spPr>
        </xdr:pic>
      </mc:Fallback>
    </mc:AlternateContent>
    <xdr:clientData/>
  </xdr:twoCellAnchor>
  <xdr:twoCellAnchor>
    <xdr:from>
      <xdr:col>17</xdr:col>
      <xdr:colOff>585517</xdr:colOff>
      <xdr:row>7</xdr:row>
      <xdr:rowOff>186360</xdr:rowOff>
    </xdr:from>
    <xdr:to>
      <xdr:col>19</xdr:col>
      <xdr:colOff>21129</xdr:colOff>
      <xdr:row>11</xdr:row>
      <xdr:rowOff>35585</xdr:rowOff>
    </xdr:to>
    <mc:AlternateContent xmlns:mc="http://schemas.openxmlformats.org/markup-compatibility/2006">
      <mc:Choice xmlns:am3d="http://schemas.microsoft.com/office/drawing/2017/model3d" Requires="am3d">
        <xdr:graphicFrame macro="">
          <xdr:nvGraphicFramePr>
            <xdr:cNvPr id="27" name="3D Model 26" descr="Grunge Sneakers">
              <a:extLst>
                <a:ext uri="{FF2B5EF4-FFF2-40B4-BE49-F238E27FC236}">
                  <a16:creationId xmlns:a16="http://schemas.microsoft.com/office/drawing/2014/main" id="{5EB8B33B-0E51-458D-8F18-F672C8F3947C}"/>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0">
                <am3d:spPr>
                  <a:xfrm>
                    <a:off x="0" y="0"/>
                    <a:ext cx="642112" cy="611225"/>
                  </a:xfrm>
                  <a:prstGeom prst="rect">
                    <a:avLst/>
                  </a:prstGeom>
                </am3d:spPr>
                <am3d:camera>
                  <am3d:pos x="0" y="0" z="67501729"/>
                  <am3d:up dx="0" dy="36000000" dz="0"/>
                  <am3d:lookAt x="0" y="0" z="0"/>
                  <am3d:perspective fov="2700000"/>
                </am3d:camera>
                <am3d:trans>
                  <am3d:meterPerModelUnit n="3503305" d="1000000"/>
                  <am3d:preTrans dx="-556" dy="-7435124" dz="-4150653"/>
                  <am3d:scale>
                    <am3d:sx n="1000000" d="1000000"/>
                    <am3d:sy n="1000000" d="1000000"/>
                    <am3d:sz n="1000000" d="1000000"/>
                  </am3d:scale>
                  <am3d:rot ax="5400000" ay="3600000" az="5400000"/>
                  <am3d:postTrans dx="0" dy="0" dz="0"/>
                </am3d:trans>
                <am3d:raster rName="Office3DRenderer" rVer="16.0.8326">
                  <am3d:blip r:embed="rId12"/>
                </am3d:raster>
                <am3d:objViewport viewportSz="772396"/>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7" name="3D Model 26" descr="Grunge Sneakers">
              <a:extLst>
                <a:ext uri="{FF2B5EF4-FFF2-40B4-BE49-F238E27FC236}">
                  <a16:creationId xmlns:a16="http://schemas.microsoft.com/office/drawing/2014/main" id="{5EB8B33B-0E51-458D-8F18-F672C8F3947C}"/>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2"/>
            <a:stretch>
              <a:fillRect/>
            </a:stretch>
          </xdr:blipFill>
          <xdr:spPr>
            <a:xfrm>
              <a:off x="10840767" y="1519860"/>
              <a:ext cx="642112" cy="611225"/>
            </a:xfrm>
            <a:prstGeom prst="rect">
              <a:avLst/>
            </a:prstGeom>
          </xdr:spPr>
        </xdr:pic>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7.449739351854" createdVersion="7" refreshedVersion="7" minRefreshableVersion="3" recordCount="1000" xr:uid="{0B7C3E9E-C522-4D85-A972-EBA46F5A0F6F}">
  <cacheSource type="worksheet">
    <worksheetSource name="shoes_sales_dataset"/>
  </cacheSource>
  <cacheFields count="12">
    <cacheField name="Sale_ID" numFmtId="0">
      <sharedItems/>
    </cacheField>
    <cacheField name="Date" numFmtId="14">
      <sharedItems containsSemiMixedTypes="0" containsNonDate="0" containsDate="1" containsString="0" minDate="2025-01-03T00:00:00" maxDate="2026-01-01T00:00:00" count="342">
        <d v="2025-11-24T00:00:00"/>
        <d v="2025-03-13T00:00:00"/>
        <d v="2025-08-05T00:00:00"/>
        <d v="2025-11-05T00:00:00"/>
        <d v="2025-10-07T00:00:00"/>
        <d v="2025-03-23T00:00:00"/>
        <d v="2025-02-22T00:00:00"/>
        <d v="2025-11-06T00:00:00"/>
        <d v="2025-07-13T00:00:00"/>
        <d v="2025-10-23T00:00:00"/>
        <d v="2025-05-29T00:00:00"/>
        <d v="2025-11-22T00:00:00"/>
        <d v="2025-05-17T00:00:00"/>
        <d v="2025-05-06T00:00:00"/>
        <d v="2025-10-13T00:00:00"/>
        <d v="2025-06-11T00:00:00"/>
        <d v="2025-03-15T00:00:00"/>
        <d v="2025-05-15T00:00:00"/>
        <d v="2025-03-12T00:00:00"/>
        <d v="2025-03-20T00:00:00"/>
        <d v="2025-07-15T00:00:00"/>
        <d v="2025-12-15T00:00:00"/>
        <d v="2025-06-24T00:00:00"/>
        <d v="2025-06-02T00:00:00"/>
        <d v="2025-10-04T00:00:00"/>
        <d v="2025-02-27T00:00:00"/>
        <d v="2025-02-10T00:00:00"/>
        <d v="2025-03-06T00:00:00"/>
        <d v="2025-09-28T00:00:00"/>
        <d v="2025-12-20T00:00:00"/>
        <d v="2025-07-11T00:00:00"/>
        <d v="2025-02-02T00:00:00"/>
        <d v="2025-04-23T00:00:00"/>
        <d v="2025-02-04T00:00:00"/>
        <d v="2025-12-09T00:00:00"/>
        <d v="2025-02-19T00:00:00"/>
        <d v="2025-01-28T00:00:00"/>
        <d v="2025-05-08T00:00:00"/>
        <d v="2025-04-04T00:00:00"/>
        <d v="2025-02-20T00:00:00"/>
        <d v="2025-03-27T00:00:00"/>
        <d v="2025-01-31T00:00:00"/>
        <d v="2025-05-27T00:00:00"/>
        <d v="2025-09-07T00:00:00"/>
        <d v="2025-10-05T00:00:00"/>
        <d v="2025-09-02T00:00:00"/>
        <d v="2025-04-06T00:00:00"/>
        <d v="2025-07-26T00:00:00"/>
        <d v="2025-11-14T00:00:00"/>
        <d v="2025-05-16T00:00:00"/>
        <d v="2025-02-07T00:00:00"/>
        <d v="2025-02-05T00:00:00"/>
        <d v="2025-12-27T00:00:00"/>
        <d v="2025-10-11T00:00:00"/>
        <d v="2025-02-24T00:00:00"/>
        <d v="2025-06-25T00:00:00"/>
        <d v="2025-05-09T00:00:00"/>
        <d v="2025-01-23T00:00:00"/>
        <d v="2025-08-15T00:00:00"/>
        <d v="2025-02-08T00:00:00"/>
        <d v="2025-03-17T00:00:00"/>
        <d v="2025-07-03T00:00:00"/>
        <d v="2025-10-14T00:00:00"/>
        <d v="2025-04-01T00:00:00"/>
        <d v="2025-01-20T00:00:00"/>
        <d v="2025-04-27T00:00:00"/>
        <d v="2025-05-23T00:00:00"/>
        <d v="2025-12-14T00:00:00"/>
        <d v="2025-10-25T00:00:00"/>
        <d v="2025-06-10T00:00:00"/>
        <d v="2025-04-08T00:00:00"/>
        <d v="2025-10-03T00:00:00"/>
        <d v="2025-11-16T00:00:00"/>
        <d v="2025-06-08T00:00:00"/>
        <d v="2025-03-07T00:00:00"/>
        <d v="2025-03-31T00:00:00"/>
        <d v="2025-06-05T00:00:00"/>
        <d v="2025-06-14T00:00:00"/>
        <d v="2025-08-31T00:00:00"/>
        <d v="2025-11-21T00:00:00"/>
        <d v="2025-04-26T00:00:00"/>
        <d v="2025-11-09T00:00:00"/>
        <d v="2025-12-23T00:00:00"/>
        <d v="2025-12-19T00:00:00"/>
        <d v="2025-09-23T00:00:00"/>
        <d v="2025-08-22T00:00:00"/>
        <d v="2025-06-12T00:00:00"/>
        <d v="2025-08-17T00:00:00"/>
        <d v="2025-11-23T00:00:00"/>
        <d v="2025-08-14T00:00:00"/>
        <d v="2025-06-13T00:00:00"/>
        <d v="2025-12-22T00:00:00"/>
        <d v="2025-06-19T00:00:00"/>
        <d v="2025-07-19T00:00:00"/>
        <d v="2025-01-04T00:00:00"/>
        <d v="2025-09-06T00:00:00"/>
        <d v="2025-03-26T00:00:00"/>
        <d v="2025-10-31T00:00:00"/>
        <d v="2025-03-11T00:00:00"/>
        <d v="2025-04-19T00:00:00"/>
        <d v="2025-05-10T00:00:00"/>
        <d v="2025-06-29T00:00:00"/>
        <d v="2025-05-07T00:00:00"/>
        <d v="2025-07-08T00:00:00"/>
        <d v="2025-03-25T00:00:00"/>
        <d v="2025-12-13T00:00:00"/>
        <d v="2025-11-04T00:00:00"/>
        <d v="2025-12-05T00:00:00"/>
        <d v="2025-08-04T00:00:00"/>
        <d v="2025-12-29T00:00:00"/>
        <d v="2025-05-19T00:00:00"/>
        <d v="2025-05-05T00:00:00"/>
        <d v="2025-01-15T00:00:00"/>
        <d v="2025-05-13T00:00:00"/>
        <d v="2025-01-06T00:00:00"/>
        <d v="2025-09-08T00:00:00"/>
        <d v="2025-09-09T00:00:00"/>
        <d v="2025-12-21T00:00:00"/>
        <d v="2025-06-30T00:00:00"/>
        <d v="2025-04-09T00:00:00"/>
        <d v="2025-04-05T00:00:00"/>
        <d v="2025-10-29T00:00:00"/>
        <d v="2025-06-01T00:00:00"/>
        <d v="2025-10-01T00:00:00"/>
        <d v="2025-12-24T00:00:00"/>
        <d v="2025-10-21T00:00:00"/>
        <d v="2025-01-27T00:00:00"/>
        <d v="2025-10-16T00:00:00"/>
        <d v="2025-11-07T00:00:00"/>
        <d v="2025-03-22T00:00:00"/>
        <d v="2025-05-30T00:00:00"/>
        <d v="2025-08-21T00:00:00"/>
        <d v="2025-03-18T00:00:00"/>
        <d v="2025-11-01T00:00:00"/>
        <d v="2025-02-11T00:00:00"/>
        <d v="2025-10-28T00:00:00"/>
        <d v="2025-08-29T00:00:00"/>
        <d v="2025-08-12T00:00:00"/>
        <d v="2025-05-28T00:00:00"/>
        <d v="2025-12-03T00:00:00"/>
        <d v="2025-07-05T00:00:00"/>
        <d v="2025-04-15T00:00:00"/>
        <d v="2025-12-30T00:00:00"/>
        <d v="2025-02-17T00:00:00"/>
        <d v="2025-09-13T00:00:00"/>
        <d v="2025-08-30T00:00:00"/>
        <d v="2025-11-03T00:00:00"/>
        <d v="2025-09-05T00:00:00"/>
        <d v="2025-07-30T00:00:00"/>
        <d v="2025-07-17T00:00:00"/>
        <d v="2025-06-23T00:00:00"/>
        <d v="2025-12-12T00:00:00"/>
        <d v="2025-01-24T00:00:00"/>
        <d v="2025-03-16T00:00:00"/>
        <d v="2025-03-29T00:00:00"/>
        <d v="2025-05-04T00:00:00"/>
        <d v="2025-05-11T00:00:00"/>
        <d v="2025-06-03T00:00:00"/>
        <d v="2025-04-12T00:00:00"/>
        <d v="2025-07-22T00:00:00"/>
        <d v="2025-01-26T00:00:00"/>
        <d v="2025-02-16T00:00:00"/>
        <d v="2025-03-09T00:00:00"/>
        <d v="2025-05-12T00:00:00"/>
        <d v="2025-08-28T00:00:00"/>
        <d v="2025-07-23T00:00:00"/>
        <d v="2025-10-02T00:00:00"/>
        <d v="2025-04-30T00:00:00"/>
        <d v="2025-04-24T00:00:00"/>
        <d v="2025-07-29T00:00:00"/>
        <d v="2025-03-01T00:00:00"/>
        <d v="2025-07-09T00:00:00"/>
        <d v="2025-08-01T00:00:00"/>
        <d v="2025-05-22T00:00:00"/>
        <d v="2025-11-25T00:00:00"/>
        <d v="2025-10-17T00:00:00"/>
        <d v="2025-03-08T00:00:00"/>
        <d v="2025-02-28T00:00:00"/>
        <d v="2025-02-25T00:00:00"/>
        <d v="2025-12-04T00:00:00"/>
        <d v="2025-09-03T00:00:00"/>
        <d v="2025-08-16T00:00:00"/>
        <d v="2025-06-16T00:00:00"/>
        <d v="2025-11-30T00:00:00"/>
        <d v="2025-07-31T00:00:00"/>
        <d v="2025-12-18T00:00:00"/>
        <d v="2025-10-15T00:00:00"/>
        <d v="2025-11-26T00:00:00"/>
        <d v="2025-07-25T00:00:00"/>
        <d v="2025-09-29T00:00:00"/>
        <d v="2025-05-20T00:00:00"/>
        <d v="2025-02-26T00:00:00"/>
        <d v="2025-12-08T00:00:00"/>
        <d v="2025-01-10T00:00:00"/>
        <d v="2025-07-27T00:00:00"/>
        <d v="2025-02-09T00:00:00"/>
        <d v="2025-06-28T00:00:00"/>
        <d v="2025-10-24T00:00:00"/>
        <d v="2025-06-15T00:00:00"/>
        <d v="2025-11-20T00:00:00"/>
        <d v="2025-07-16T00:00:00"/>
        <d v="2025-10-20T00:00:00"/>
        <d v="2025-02-01T00:00:00"/>
        <d v="2025-11-27T00:00:00"/>
        <d v="2025-09-26T00:00:00"/>
        <d v="2025-07-18T00:00:00"/>
        <d v="2025-11-28T00:00:00"/>
        <d v="2025-06-20T00:00:00"/>
        <d v="2025-12-02T00:00:00"/>
        <d v="2025-12-17T00:00:00"/>
        <d v="2025-02-21T00:00:00"/>
        <d v="2025-06-22T00:00:00"/>
        <d v="2025-04-03T00:00:00"/>
        <d v="2025-07-06T00:00:00"/>
        <d v="2025-08-18T00:00:00"/>
        <d v="2025-04-10T00:00:00"/>
        <d v="2025-03-24T00:00:00"/>
        <d v="2025-04-25T00:00:00"/>
        <d v="2025-12-28T00:00:00"/>
        <d v="2025-05-03T00:00:00"/>
        <d v="2025-06-26T00:00:00"/>
        <d v="2025-01-22T00:00:00"/>
        <d v="2025-01-25T00:00:00"/>
        <d v="2025-08-09T00:00:00"/>
        <d v="2025-08-07T00:00:00"/>
        <d v="2025-01-16T00:00:00"/>
        <d v="2025-01-17T00:00:00"/>
        <d v="2025-04-13T00:00:00"/>
        <d v="2025-02-03T00:00:00"/>
        <d v="2025-12-31T00:00:00"/>
        <d v="2025-08-19T00:00:00"/>
        <d v="2025-03-05T00:00:00"/>
        <d v="2025-08-02T00:00:00"/>
        <d v="2025-08-03T00:00:00"/>
        <d v="2025-09-12T00:00:00"/>
        <d v="2025-04-21T00:00:00"/>
        <d v="2025-11-02T00:00:00"/>
        <d v="2025-07-07T00:00:00"/>
        <d v="2025-10-09T00:00:00"/>
        <d v="2025-09-17T00:00:00"/>
        <d v="2025-09-01T00:00:00"/>
        <d v="2025-10-26T00:00:00"/>
        <d v="2025-12-25T00:00:00"/>
        <d v="2025-03-19T00:00:00"/>
        <d v="2025-09-30T00:00:00"/>
        <d v="2025-05-21T00:00:00"/>
        <d v="2025-04-20T00:00:00"/>
        <d v="2025-01-03T00:00:00"/>
        <d v="2025-02-15T00:00:00"/>
        <d v="2025-09-10T00:00:00"/>
        <d v="2025-09-21T00:00:00"/>
        <d v="2025-05-01T00:00:00"/>
        <d v="2025-09-15T00:00:00"/>
        <d v="2025-11-11T00:00:00"/>
        <d v="2025-12-07T00:00:00"/>
        <d v="2025-09-27T00:00:00"/>
        <d v="2025-04-16T00:00:00"/>
        <d v="2025-07-12T00:00:00"/>
        <d v="2025-10-06T00:00:00"/>
        <d v="2025-06-27T00:00:00"/>
        <d v="2025-10-22T00:00:00"/>
        <d v="2025-05-02T00:00:00"/>
        <d v="2025-11-17T00:00:00"/>
        <d v="2025-12-10T00:00:00"/>
        <d v="2025-12-11T00:00:00"/>
        <d v="2025-11-29T00:00:00"/>
        <d v="2025-08-27T00:00:00"/>
        <d v="2025-01-09T00:00:00"/>
        <d v="2025-03-28T00:00:00"/>
        <d v="2025-01-29T00:00:00"/>
        <d v="2025-05-24T00:00:00"/>
        <d v="2025-04-29T00:00:00"/>
        <d v="2025-06-17T00:00:00"/>
        <d v="2025-07-02T00:00:00"/>
        <d v="2025-06-07T00:00:00"/>
        <d v="2025-02-13T00:00:00"/>
        <d v="2025-07-14T00:00:00"/>
        <d v="2025-09-11T00:00:00"/>
        <d v="2025-12-16T00:00:00"/>
        <d v="2025-08-13T00:00:00"/>
        <d v="2025-07-04T00:00:00"/>
        <d v="2025-03-14T00:00:00"/>
        <d v="2025-09-24T00:00:00"/>
        <d v="2025-11-13T00:00:00"/>
        <d v="2025-08-06T00:00:00"/>
        <d v="2025-07-21T00:00:00"/>
        <d v="2025-08-23T00:00:00"/>
        <d v="2025-02-06T00:00:00"/>
        <d v="2025-02-14T00:00:00"/>
        <d v="2025-05-26T00:00:00"/>
        <d v="2025-09-18T00:00:00"/>
        <d v="2025-07-20T00:00:00"/>
        <d v="2025-08-11T00:00:00"/>
        <d v="2025-03-02T00:00:00"/>
        <d v="2025-11-15T00:00:00"/>
        <d v="2025-07-10T00:00:00"/>
        <d v="2025-03-10T00:00:00"/>
        <d v="2025-12-06T00:00:00"/>
        <d v="2025-04-14T00:00:00"/>
        <d v="2025-04-17T00:00:00"/>
        <d v="2025-01-21T00:00:00"/>
        <d v="2025-11-19T00:00:00"/>
        <d v="2025-01-12T00:00:00"/>
        <d v="2025-10-27T00:00:00"/>
        <d v="2025-07-01T00:00:00"/>
        <d v="2025-10-18T00:00:00"/>
        <d v="2025-05-31T00:00:00"/>
        <d v="2025-12-01T00:00:00"/>
        <d v="2025-01-18T00:00:00"/>
        <d v="2025-11-18T00:00:00"/>
        <d v="2025-05-18T00:00:00"/>
        <d v="2025-04-07T00:00:00"/>
        <d v="2025-09-20T00:00:00"/>
        <d v="2025-03-30T00:00:00"/>
        <d v="2025-04-22T00:00:00"/>
        <d v="2025-09-04T00:00:00"/>
        <d v="2025-05-14T00:00:00"/>
        <d v="2025-01-30T00:00:00"/>
        <d v="2025-01-14T00:00:00"/>
        <d v="2025-01-19T00:00:00"/>
        <d v="2025-08-26T00:00:00"/>
        <d v="2025-02-23T00:00:00"/>
        <d v="2025-09-25T00:00:00"/>
        <d v="2025-01-05T00:00:00"/>
        <d v="2025-10-19T00:00:00"/>
        <d v="2025-11-10T00:00:00"/>
        <d v="2025-11-08T00:00:00"/>
        <d v="2025-10-12T00:00:00"/>
        <d v="2025-06-04T00:00:00"/>
        <d v="2025-09-22T00:00:00"/>
        <d v="2025-12-26T00:00:00"/>
        <d v="2025-01-13T00:00:00"/>
        <d v="2025-09-19T00:00:00"/>
        <d v="2025-09-16T00:00:00"/>
        <d v="2025-03-21T00:00:00"/>
        <d v="2025-04-28T00:00:00"/>
        <d v="2025-03-03T00:00:00"/>
        <d v="2025-08-20T00:00:00"/>
        <d v="2025-05-25T00:00:00"/>
        <d v="2025-10-10T00:00:00"/>
        <d v="2025-02-18T00:00:00"/>
        <d v="2025-06-06T00:00:00"/>
      </sharedItems>
      <fieldGroup par="11" base="1">
        <rangePr groupBy="days" startDate="2025-01-03T00:00:00" endDate="2026-01-01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Brand" numFmtId="0">
      <sharedItems count="6">
        <s v="Nike"/>
        <s v="Skechers"/>
        <s v="New Balance"/>
        <s v="Adidas"/>
        <s v="Puma"/>
        <s v="Reebok"/>
      </sharedItems>
    </cacheField>
    <cacheField name="Shoe_Type" numFmtId="0">
      <sharedItems count="6">
        <s v="Boots"/>
        <s v="Running"/>
        <s v="Casual"/>
        <s v="Formal"/>
        <s v="Sports"/>
        <s v="Sneakers"/>
      </sharedItems>
    </cacheField>
    <cacheField name="Color" numFmtId="0">
      <sharedItems/>
    </cacheField>
    <cacheField name="Country" numFmtId="0">
      <sharedItems count="7">
        <s v="UK"/>
        <s v="USA"/>
        <s v="UAE"/>
        <s v="France"/>
        <s v="Saudi Arabia"/>
        <s v="India"/>
        <s v="Germany"/>
      </sharedItems>
    </cacheField>
    <cacheField name="Sales_Channel" numFmtId="0">
      <sharedItems count="3">
        <s v="Online"/>
        <s v="Mall"/>
        <s v="Retail Store"/>
      </sharedItems>
    </cacheField>
    <cacheField name="Price_USD" numFmtId="0">
      <sharedItems containsSemiMixedTypes="0" containsString="0" containsNumber="1" minValue="31.02" maxValue="249.94"/>
    </cacheField>
    <cacheField name="Units_Sold" numFmtId="0">
      <sharedItems containsSemiMixedTypes="0" containsString="0" containsNumber="1" containsInteger="1" minValue="1" maxValue="20"/>
    </cacheField>
    <cacheField name="Revenue_USD" numFmtId="0">
      <sharedItems containsSemiMixedTypes="0" containsString="0" containsNumber="1" minValue="32.380000000000003" maxValue="4938.3999999999996"/>
    </cacheField>
    <cacheField name="MONTH" numFmtId="0">
      <sharedItems/>
    </cacheField>
    <cacheField name="Months" numFmtId="0" databaseField="0">
      <fieldGroup base="1">
        <rangePr groupBy="months" startDate="2025-01-03T00:00:00" endDate="2026-01-01T00:00:00"/>
        <groupItems count="14">
          <s v="&lt;03-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315792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
    <x v="0"/>
    <x v="0"/>
    <x v="0"/>
    <s v="Blue"/>
    <x v="0"/>
    <x v="0"/>
    <n v="112.4"/>
    <n v="4"/>
    <n v="449.6"/>
    <s v="November"/>
  </r>
  <r>
    <s v="S2"/>
    <x v="1"/>
    <x v="1"/>
    <x v="0"/>
    <s v="Grey"/>
    <x v="1"/>
    <x v="1"/>
    <n v="239.16"/>
    <n v="4"/>
    <n v="956.64"/>
    <s v="March"/>
  </r>
  <r>
    <s v="S3"/>
    <x v="2"/>
    <x v="0"/>
    <x v="1"/>
    <s v="White"/>
    <x v="0"/>
    <x v="1"/>
    <n v="191.04"/>
    <n v="2"/>
    <n v="382.08"/>
    <s v="August"/>
  </r>
  <r>
    <s v="S4"/>
    <x v="3"/>
    <x v="2"/>
    <x v="2"/>
    <s v="Green"/>
    <x v="2"/>
    <x v="1"/>
    <n v="161.69999999999999"/>
    <n v="1"/>
    <n v="161.69999999999999"/>
    <s v="November"/>
  </r>
  <r>
    <s v="S5"/>
    <x v="4"/>
    <x v="3"/>
    <x v="3"/>
    <s v="Grey"/>
    <x v="3"/>
    <x v="0"/>
    <n v="64.319999999999993"/>
    <n v="14"/>
    <n v="900.48"/>
    <s v="October"/>
  </r>
  <r>
    <s v="S6"/>
    <x v="5"/>
    <x v="4"/>
    <x v="4"/>
    <s v="White"/>
    <x v="0"/>
    <x v="2"/>
    <n v="64.319999999999993"/>
    <n v="14"/>
    <n v="900.48"/>
    <s v="March"/>
  </r>
  <r>
    <s v="S7"/>
    <x v="6"/>
    <x v="5"/>
    <x v="1"/>
    <s v="Blue"/>
    <x v="4"/>
    <x v="2"/>
    <n v="42.78"/>
    <n v="3"/>
    <n v="128.34"/>
    <s v="February"/>
  </r>
  <r>
    <s v="S8"/>
    <x v="7"/>
    <x v="0"/>
    <x v="0"/>
    <s v="Red"/>
    <x v="5"/>
    <x v="0"/>
    <n v="220.56"/>
    <n v="9"/>
    <n v="1985.04"/>
    <s v="November"/>
  </r>
  <r>
    <s v="S9"/>
    <x v="8"/>
    <x v="2"/>
    <x v="4"/>
    <s v="Green"/>
    <x v="5"/>
    <x v="2"/>
    <n v="162.25"/>
    <n v="3"/>
    <n v="486.75"/>
    <s v="July"/>
  </r>
  <r>
    <s v="S10"/>
    <x v="9"/>
    <x v="1"/>
    <x v="1"/>
    <s v="Black"/>
    <x v="2"/>
    <x v="0"/>
    <n v="185.78"/>
    <n v="7"/>
    <n v="1300.46"/>
    <s v="October"/>
  </r>
  <r>
    <s v="S11"/>
    <x v="10"/>
    <x v="3"/>
    <x v="1"/>
    <s v="Red"/>
    <x v="3"/>
    <x v="2"/>
    <n v="34.53"/>
    <n v="3"/>
    <n v="103.59"/>
    <s v="May"/>
  </r>
  <r>
    <s v="S12"/>
    <x v="11"/>
    <x v="3"/>
    <x v="4"/>
    <s v="Blue"/>
    <x v="0"/>
    <x v="1"/>
    <n v="243.38"/>
    <n v="12"/>
    <n v="2920.56"/>
    <s v="November"/>
  </r>
  <r>
    <s v="S13"/>
    <x v="12"/>
    <x v="2"/>
    <x v="0"/>
    <s v="White"/>
    <x v="5"/>
    <x v="1"/>
    <n v="213.14"/>
    <n v="3"/>
    <n v="639.41999999999996"/>
    <s v="May"/>
  </r>
  <r>
    <s v="S14"/>
    <x v="13"/>
    <x v="5"/>
    <x v="3"/>
    <s v="Blue"/>
    <x v="2"/>
    <x v="1"/>
    <n v="76.709999999999994"/>
    <n v="6"/>
    <n v="460.26"/>
    <s v="May"/>
  </r>
  <r>
    <s v="S15"/>
    <x v="14"/>
    <x v="1"/>
    <x v="4"/>
    <s v="Black"/>
    <x v="0"/>
    <x v="0"/>
    <n v="70"/>
    <n v="8"/>
    <n v="560"/>
    <s v="October"/>
  </r>
  <r>
    <s v="S16"/>
    <x v="15"/>
    <x v="4"/>
    <x v="1"/>
    <s v="White"/>
    <x v="5"/>
    <x v="1"/>
    <n v="70.349999999999994"/>
    <n v="13"/>
    <n v="914.55"/>
    <s v="June"/>
  </r>
  <r>
    <s v="S17"/>
    <x v="15"/>
    <x v="1"/>
    <x v="3"/>
    <s v="Red"/>
    <x v="2"/>
    <x v="2"/>
    <n v="96.93"/>
    <n v="7"/>
    <n v="678.51"/>
    <s v="June"/>
  </r>
  <r>
    <s v="S18"/>
    <x v="16"/>
    <x v="3"/>
    <x v="2"/>
    <s v="Green"/>
    <x v="5"/>
    <x v="1"/>
    <n v="145.44999999999999"/>
    <n v="9"/>
    <n v="1309.05"/>
    <s v="March"/>
  </r>
  <r>
    <s v="S19"/>
    <x v="17"/>
    <x v="5"/>
    <x v="5"/>
    <s v="Red"/>
    <x v="3"/>
    <x v="0"/>
    <n v="125.03"/>
    <n v="19"/>
    <n v="2375.5700000000002"/>
    <s v="May"/>
  </r>
  <r>
    <s v="S20"/>
    <x v="18"/>
    <x v="5"/>
    <x v="1"/>
    <s v="Black"/>
    <x v="4"/>
    <x v="0"/>
    <n v="94.07"/>
    <n v="17"/>
    <n v="1599.19"/>
    <s v="March"/>
  </r>
  <r>
    <s v="S21"/>
    <x v="19"/>
    <x v="1"/>
    <x v="3"/>
    <s v="Grey"/>
    <x v="1"/>
    <x v="2"/>
    <n v="164.61"/>
    <n v="6"/>
    <n v="987.66"/>
    <s v="March"/>
  </r>
  <r>
    <s v="S22"/>
    <x v="20"/>
    <x v="5"/>
    <x v="5"/>
    <s v="Blue"/>
    <x v="5"/>
    <x v="0"/>
    <n v="60.69"/>
    <n v="20"/>
    <n v="1213.8"/>
    <s v="July"/>
  </r>
  <r>
    <s v="S23"/>
    <x v="21"/>
    <x v="1"/>
    <x v="5"/>
    <s v="Blue"/>
    <x v="4"/>
    <x v="1"/>
    <n v="94.27"/>
    <n v="4"/>
    <n v="377.08"/>
    <s v="December"/>
  </r>
  <r>
    <s v="S24"/>
    <x v="22"/>
    <x v="4"/>
    <x v="3"/>
    <s v="White"/>
    <x v="6"/>
    <x v="0"/>
    <n v="110.6"/>
    <n v="4"/>
    <n v="442.4"/>
    <s v="June"/>
  </r>
  <r>
    <s v="S25"/>
    <x v="17"/>
    <x v="3"/>
    <x v="5"/>
    <s v="Black"/>
    <x v="4"/>
    <x v="1"/>
    <n v="130.34"/>
    <n v="17"/>
    <n v="2215.7800000000002"/>
    <s v="May"/>
  </r>
  <r>
    <s v="S26"/>
    <x v="23"/>
    <x v="2"/>
    <x v="2"/>
    <s v="White"/>
    <x v="3"/>
    <x v="0"/>
    <n v="202.74"/>
    <n v="17"/>
    <n v="3446.58"/>
    <s v="June"/>
  </r>
  <r>
    <s v="S27"/>
    <x v="24"/>
    <x v="0"/>
    <x v="5"/>
    <s v="Blue"/>
    <x v="6"/>
    <x v="0"/>
    <n v="73.930000000000007"/>
    <n v="17"/>
    <n v="1256.81"/>
    <s v="October"/>
  </r>
  <r>
    <s v="S28"/>
    <x v="25"/>
    <x v="4"/>
    <x v="2"/>
    <s v="Black"/>
    <x v="0"/>
    <x v="1"/>
    <n v="143.13"/>
    <n v="12"/>
    <n v="1717.56"/>
    <s v="February"/>
  </r>
  <r>
    <s v="S29"/>
    <x v="26"/>
    <x v="1"/>
    <x v="3"/>
    <s v="Black"/>
    <x v="4"/>
    <x v="1"/>
    <n v="160.33000000000001"/>
    <n v="3"/>
    <n v="480.99"/>
    <s v="February"/>
  </r>
  <r>
    <s v="S30"/>
    <x v="27"/>
    <x v="1"/>
    <x v="3"/>
    <s v="Grey"/>
    <x v="0"/>
    <x v="2"/>
    <n v="40.22"/>
    <n v="5"/>
    <n v="201.1"/>
    <s v="March"/>
  </r>
  <r>
    <s v="S31"/>
    <x v="28"/>
    <x v="5"/>
    <x v="2"/>
    <s v="Grey"/>
    <x v="4"/>
    <x v="1"/>
    <n v="163.66"/>
    <n v="20"/>
    <n v="3273.2"/>
    <s v="September"/>
  </r>
  <r>
    <s v="S32"/>
    <x v="29"/>
    <x v="1"/>
    <x v="4"/>
    <s v="Red"/>
    <x v="2"/>
    <x v="1"/>
    <n v="67.52"/>
    <n v="7"/>
    <n v="472.64"/>
    <s v="December"/>
  </r>
  <r>
    <s v="S33"/>
    <x v="30"/>
    <x v="2"/>
    <x v="3"/>
    <s v="Black"/>
    <x v="0"/>
    <x v="0"/>
    <n v="44.31"/>
    <n v="15"/>
    <n v="664.65"/>
    <s v="July"/>
  </r>
  <r>
    <s v="S34"/>
    <x v="31"/>
    <x v="0"/>
    <x v="5"/>
    <s v="Grey"/>
    <x v="0"/>
    <x v="1"/>
    <n v="238.75"/>
    <n v="11"/>
    <n v="2626.25"/>
    <s v="February"/>
  </r>
  <r>
    <s v="S35"/>
    <x v="32"/>
    <x v="0"/>
    <x v="0"/>
    <s v="Green"/>
    <x v="1"/>
    <x v="0"/>
    <n v="242.44"/>
    <n v="1"/>
    <n v="242.44"/>
    <s v="April"/>
  </r>
  <r>
    <s v="S36"/>
    <x v="33"/>
    <x v="4"/>
    <x v="1"/>
    <s v="Grey"/>
    <x v="0"/>
    <x v="2"/>
    <n v="207.85"/>
    <n v="2"/>
    <n v="415.7"/>
    <s v="February"/>
  </r>
  <r>
    <s v="S37"/>
    <x v="34"/>
    <x v="3"/>
    <x v="5"/>
    <s v="White"/>
    <x v="2"/>
    <x v="1"/>
    <n v="97.02"/>
    <n v="16"/>
    <n v="1552.32"/>
    <s v="December"/>
  </r>
  <r>
    <s v="S38"/>
    <x v="9"/>
    <x v="3"/>
    <x v="3"/>
    <s v="Red"/>
    <x v="0"/>
    <x v="0"/>
    <n v="51.49"/>
    <n v="16"/>
    <n v="823.84"/>
    <s v="October"/>
  </r>
  <r>
    <s v="S39"/>
    <x v="35"/>
    <x v="4"/>
    <x v="3"/>
    <s v="Red"/>
    <x v="6"/>
    <x v="1"/>
    <n v="180.53"/>
    <n v="14"/>
    <n v="2527.42"/>
    <s v="February"/>
  </r>
  <r>
    <s v="S40"/>
    <x v="36"/>
    <x v="0"/>
    <x v="3"/>
    <s v="Green"/>
    <x v="3"/>
    <x v="0"/>
    <n v="126.83"/>
    <n v="4"/>
    <n v="507.32"/>
    <s v="January"/>
  </r>
  <r>
    <s v="S41"/>
    <x v="37"/>
    <x v="3"/>
    <x v="5"/>
    <s v="Red"/>
    <x v="0"/>
    <x v="2"/>
    <n v="56.85"/>
    <n v="7"/>
    <n v="397.95"/>
    <s v="May"/>
  </r>
  <r>
    <s v="S42"/>
    <x v="38"/>
    <x v="5"/>
    <x v="2"/>
    <s v="Black"/>
    <x v="6"/>
    <x v="1"/>
    <n v="138.94"/>
    <n v="9"/>
    <n v="1250.46"/>
    <s v="April"/>
  </r>
  <r>
    <s v="S43"/>
    <x v="39"/>
    <x v="1"/>
    <x v="5"/>
    <s v="Black"/>
    <x v="1"/>
    <x v="0"/>
    <n v="37.57"/>
    <n v="2"/>
    <n v="75.14"/>
    <s v="February"/>
  </r>
  <r>
    <s v="S44"/>
    <x v="40"/>
    <x v="5"/>
    <x v="3"/>
    <s v="White"/>
    <x v="4"/>
    <x v="2"/>
    <n v="230.05"/>
    <n v="14"/>
    <n v="3220.7"/>
    <s v="March"/>
  </r>
  <r>
    <s v="S45"/>
    <x v="41"/>
    <x v="5"/>
    <x v="1"/>
    <s v="Red"/>
    <x v="3"/>
    <x v="2"/>
    <n v="86.93"/>
    <n v="6"/>
    <n v="521.58000000000004"/>
    <s v="January"/>
  </r>
  <r>
    <s v="S46"/>
    <x v="42"/>
    <x v="1"/>
    <x v="0"/>
    <s v="Grey"/>
    <x v="2"/>
    <x v="1"/>
    <n v="175.75"/>
    <n v="14"/>
    <n v="2460.5"/>
    <s v="May"/>
  </r>
  <r>
    <s v="S47"/>
    <x v="43"/>
    <x v="3"/>
    <x v="4"/>
    <s v="White"/>
    <x v="1"/>
    <x v="1"/>
    <n v="98.58"/>
    <n v="5"/>
    <n v="492.9"/>
    <s v="September"/>
  </r>
  <r>
    <s v="S48"/>
    <x v="44"/>
    <x v="1"/>
    <x v="4"/>
    <s v="Black"/>
    <x v="1"/>
    <x v="1"/>
    <n v="144.41"/>
    <n v="2"/>
    <n v="288.82"/>
    <s v="October"/>
  </r>
  <r>
    <s v="S49"/>
    <x v="45"/>
    <x v="2"/>
    <x v="2"/>
    <s v="Black"/>
    <x v="5"/>
    <x v="0"/>
    <n v="150.28"/>
    <n v="17"/>
    <n v="2554.7600000000002"/>
    <s v="September"/>
  </r>
  <r>
    <s v="S50"/>
    <x v="46"/>
    <x v="2"/>
    <x v="1"/>
    <s v="Green"/>
    <x v="4"/>
    <x v="0"/>
    <n v="70.67"/>
    <n v="3"/>
    <n v="212.01"/>
    <s v="April"/>
  </r>
  <r>
    <s v="S51"/>
    <x v="47"/>
    <x v="2"/>
    <x v="2"/>
    <s v="Grey"/>
    <x v="5"/>
    <x v="0"/>
    <n v="243.31"/>
    <n v="4"/>
    <n v="973.24"/>
    <s v="July"/>
  </r>
  <r>
    <s v="S52"/>
    <x v="48"/>
    <x v="5"/>
    <x v="0"/>
    <s v="Grey"/>
    <x v="5"/>
    <x v="1"/>
    <n v="200.53"/>
    <n v="3"/>
    <n v="601.59"/>
    <s v="November"/>
  </r>
  <r>
    <s v="S53"/>
    <x v="15"/>
    <x v="3"/>
    <x v="0"/>
    <s v="Green"/>
    <x v="3"/>
    <x v="0"/>
    <n v="236.69"/>
    <n v="9"/>
    <n v="2130.21"/>
    <s v="June"/>
  </r>
  <r>
    <s v="S54"/>
    <x v="49"/>
    <x v="3"/>
    <x v="0"/>
    <s v="Green"/>
    <x v="3"/>
    <x v="2"/>
    <n v="226.86"/>
    <n v="13"/>
    <n v="2949.18"/>
    <s v="May"/>
  </r>
  <r>
    <s v="S55"/>
    <x v="15"/>
    <x v="0"/>
    <x v="3"/>
    <s v="Grey"/>
    <x v="5"/>
    <x v="0"/>
    <n v="161.54"/>
    <n v="3"/>
    <n v="484.62"/>
    <s v="June"/>
  </r>
  <r>
    <s v="S56"/>
    <x v="50"/>
    <x v="3"/>
    <x v="5"/>
    <s v="Blue"/>
    <x v="0"/>
    <x v="2"/>
    <n v="232.81"/>
    <n v="18"/>
    <n v="4190.58"/>
    <s v="February"/>
  </r>
  <r>
    <s v="S57"/>
    <x v="51"/>
    <x v="4"/>
    <x v="4"/>
    <s v="White"/>
    <x v="6"/>
    <x v="1"/>
    <n v="49.47"/>
    <n v="8"/>
    <n v="395.76"/>
    <s v="February"/>
  </r>
  <r>
    <s v="S58"/>
    <x v="52"/>
    <x v="2"/>
    <x v="0"/>
    <s v="Grey"/>
    <x v="1"/>
    <x v="1"/>
    <n v="73.12"/>
    <n v="10"/>
    <n v="731.2"/>
    <s v="December"/>
  </r>
  <r>
    <s v="S59"/>
    <x v="53"/>
    <x v="1"/>
    <x v="1"/>
    <s v="White"/>
    <x v="3"/>
    <x v="0"/>
    <n v="39.950000000000003"/>
    <n v="10"/>
    <n v="399.5"/>
    <s v="October"/>
  </r>
  <r>
    <s v="S60"/>
    <x v="54"/>
    <x v="3"/>
    <x v="4"/>
    <s v="Blue"/>
    <x v="5"/>
    <x v="0"/>
    <n v="101.57"/>
    <n v="18"/>
    <n v="1828.26"/>
    <s v="February"/>
  </r>
  <r>
    <s v="S61"/>
    <x v="55"/>
    <x v="1"/>
    <x v="0"/>
    <s v="Blue"/>
    <x v="5"/>
    <x v="2"/>
    <n v="115.51"/>
    <n v="7"/>
    <n v="808.57"/>
    <s v="June"/>
  </r>
  <r>
    <s v="S62"/>
    <x v="56"/>
    <x v="0"/>
    <x v="0"/>
    <s v="Red"/>
    <x v="4"/>
    <x v="2"/>
    <n v="89.7"/>
    <n v="2"/>
    <n v="179.4"/>
    <s v="May"/>
  </r>
  <r>
    <s v="S63"/>
    <x v="57"/>
    <x v="4"/>
    <x v="2"/>
    <s v="Green"/>
    <x v="3"/>
    <x v="0"/>
    <n v="212.32"/>
    <n v="1"/>
    <n v="212.32"/>
    <s v="January"/>
  </r>
  <r>
    <s v="S64"/>
    <x v="58"/>
    <x v="1"/>
    <x v="3"/>
    <s v="Grey"/>
    <x v="1"/>
    <x v="0"/>
    <n v="108.49"/>
    <n v="18"/>
    <n v="1952.82"/>
    <s v="August"/>
  </r>
  <r>
    <s v="S65"/>
    <x v="59"/>
    <x v="2"/>
    <x v="1"/>
    <s v="Blue"/>
    <x v="5"/>
    <x v="1"/>
    <n v="91.81"/>
    <n v="5"/>
    <n v="459.05"/>
    <s v="February"/>
  </r>
  <r>
    <s v="S66"/>
    <x v="60"/>
    <x v="3"/>
    <x v="1"/>
    <s v="Blue"/>
    <x v="3"/>
    <x v="0"/>
    <n v="149.38999999999999"/>
    <n v="14"/>
    <n v="2091.46"/>
    <s v="March"/>
  </r>
  <r>
    <s v="S67"/>
    <x v="61"/>
    <x v="1"/>
    <x v="2"/>
    <s v="Green"/>
    <x v="1"/>
    <x v="2"/>
    <n v="61"/>
    <n v="7"/>
    <n v="427"/>
    <s v="July"/>
  </r>
  <r>
    <s v="S68"/>
    <x v="62"/>
    <x v="2"/>
    <x v="0"/>
    <s v="White"/>
    <x v="0"/>
    <x v="0"/>
    <n v="206.48"/>
    <n v="14"/>
    <n v="2890.72"/>
    <s v="October"/>
  </r>
  <r>
    <s v="S69"/>
    <x v="63"/>
    <x v="0"/>
    <x v="2"/>
    <s v="Green"/>
    <x v="3"/>
    <x v="2"/>
    <n v="46.4"/>
    <n v="14"/>
    <n v="649.6"/>
    <s v="April"/>
  </r>
  <r>
    <s v="S70"/>
    <x v="34"/>
    <x v="4"/>
    <x v="2"/>
    <s v="Green"/>
    <x v="1"/>
    <x v="2"/>
    <n v="247.12"/>
    <n v="8"/>
    <n v="1976.96"/>
    <s v="December"/>
  </r>
  <r>
    <s v="S71"/>
    <x v="64"/>
    <x v="3"/>
    <x v="2"/>
    <s v="Red"/>
    <x v="3"/>
    <x v="2"/>
    <n v="199.89"/>
    <n v="16"/>
    <n v="3198.24"/>
    <s v="January"/>
  </r>
  <r>
    <s v="S72"/>
    <x v="65"/>
    <x v="0"/>
    <x v="0"/>
    <s v="White"/>
    <x v="6"/>
    <x v="2"/>
    <n v="73.72"/>
    <n v="8"/>
    <n v="589.76"/>
    <s v="April"/>
  </r>
  <r>
    <s v="S73"/>
    <x v="66"/>
    <x v="4"/>
    <x v="4"/>
    <s v="Green"/>
    <x v="5"/>
    <x v="2"/>
    <n v="31.21"/>
    <n v="3"/>
    <n v="93.63"/>
    <s v="May"/>
  </r>
  <r>
    <s v="S74"/>
    <x v="67"/>
    <x v="4"/>
    <x v="1"/>
    <s v="Black"/>
    <x v="3"/>
    <x v="0"/>
    <n v="209.4"/>
    <n v="18"/>
    <n v="3769.2"/>
    <s v="December"/>
  </r>
  <r>
    <s v="S75"/>
    <x v="68"/>
    <x v="0"/>
    <x v="1"/>
    <s v="Grey"/>
    <x v="6"/>
    <x v="2"/>
    <n v="185.51"/>
    <n v="9"/>
    <n v="1669.59"/>
    <s v="October"/>
  </r>
  <r>
    <s v="S76"/>
    <x v="69"/>
    <x v="2"/>
    <x v="5"/>
    <s v="Black"/>
    <x v="6"/>
    <x v="1"/>
    <n v="190.38"/>
    <n v="14"/>
    <n v="2665.32"/>
    <s v="June"/>
  </r>
  <r>
    <s v="S77"/>
    <x v="70"/>
    <x v="0"/>
    <x v="0"/>
    <s v="Red"/>
    <x v="1"/>
    <x v="1"/>
    <n v="199.68"/>
    <n v="9"/>
    <n v="1797.12"/>
    <s v="April"/>
  </r>
  <r>
    <s v="S78"/>
    <x v="71"/>
    <x v="4"/>
    <x v="3"/>
    <s v="Black"/>
    <x v="2"/>
    <x v="2"/>
    <n v="46.29"/>
    <n v="7"/>
    <n v="324.02999999999997"/>
    <s v="October"/>
  </r>
  <r>
    <s v="S79"/>
    <x v="72"/>
    <x v="1"/>
    <x v="1"/>
    <s v="Green"/>
    <x v="3"/>
    <x v="1"/>
    <n v="108.86"/>
    <n v="11"/>
    <n v="1197.46"/>
    <s v="November"/>
  </r>
  <r>
    <s v="S80"/>
    <x v="73"/>
    <x v="4"/>
    <x v="3"/>
    <s v="Green"/>
    <x v="3"/>
    <x v="1"/>
    <n v="55.49"/>
    <n v="14"/>
    <n v="776.86"/>
    <s v="June"/>
  </r>
  <r>
    <s v="S81"/>
    <x v="74"/>
    <x v="5"/>
    <x v="0"/>
    <s v="Red"/>
    <x v="2"/>
    <x v="1"/>
    <n v="219.88"/>
    <n v="7"/>
    <n v="1539.16"/>
    <s v="March"/>
  </r>
  <r>
    <s v="S82"/>
    <x v="75"/>
    <x v="2"/>
    <x v="4"/>
    <s v="Red"/>
    <x v="5"/>
    <x v="0"/>
    <n v="167.13"/>
    <n v="20"/>
    <n v="3342.6"/>
    <s v="March"/>
  </r>
  <r>
    <s v="S83"/>
    <x v="76"/>
    <x v="3"/>
    <x v="3"/>
    <s v="Grey"/>
    <x v="5"/>
    <x v="1"/>
    <n v="102.8"/>
    <n v="10"/>
    <n v="1028"/>
    <s v="June"/>
  </r>
  <r>
    <s v="S84"/>
    <x v="77"/>
    <x v="5"/>
    <x v="3"/>
    <s v="Green"/>
    <x v="0"/>
    <x v="1"/>
    <n v="43.98"/>
    <n v="15"/>
    <n v="659.7"/>
    <s v="June"/>
  </r>
  <r>
    <s v="S85"/>
    <x v="78"/>
    <x v="1"/>
    <x v="1"/>
    <s v="Blue"/>
    <x v="5"/>
    <x v="1"/>
    <n v="98.42"/>
    <n v="6"/>
    <n v="590.52"/>
    <s v="August"/>
  </r>
  <r>
    <s v="S86"/>
    <x v="79"/>
    <x v="4"/>
    <x v="1"/>
    <s v="White"/>
    <x v="2"/>
    <x v="2"/>
    <n v="101.54"/>
    <n v="20"/>
    <n v="2030.8"/>
    <s v="November"/>
  </r>
  <r>
    <s v="S87"/>
    <x v="80"/>
    <x v="3"/>
    <x v="1"/>
    <s v="Black"/>
    <x v="0"/>
    <x v="2"/>
    <n v="190.51"/>
    <n v="7"/>
    <n v="1333.57"/>
    <s v="April"/>
  </r>
  <r>
    <s v="S88"/>
    <x v="81"/>
    <x v="5"/>
    <x v="3"/>
    <s v="Green"/>
    <x v="5"/>
    <x v="0"/>
    <n v="170.26"/>
    <n v="3"/>
    <n v="510.78"/>
    <s v="November"/>
  </r>
  <r>
    <s v="S89"/>
    <x v="82"/>
    <x v="5"/>
    <x v="3"/>
    <s v="White"/>
    <x v="0"/>
    <x v="1"/>
    <n v="225.19"/>
    <n v="13"/>
    <n v="2927.47"/>
    <s v="December"/>
  </r>
  <r>
    <s v="S90"/>
    <x v="83"/>
    <x v="0"/>
    <x v="3"/>
    <s v="White"/>
    <x v="0"/>
    <x v="1"/>
    <n v="133.88999999999999"/>
    <n v="1"/>
    <n v="133.88999999999999"/>
    <s v="December"/>
  </r>
  <r>
    <s v="S91"/>
    <x v="84"/>
    <x v="0"/>
    <x v="5"/>
    <s v="White"/>
    <x v="4"/>
    <x v="0"/>
    <n v="56.31"/>
    <n v="15"/>
    <n v="844.65"/>
    <s v="September"/>
  </r>
  <r>
    <s v="S92"/>
    <x v="85"/>
    <x v="5"/>
    <x v="0"/>
    <s v="Grey"/>
    <x v="5"/>
    <x v="1"/>
    <n v="186.91"/>
    <n v="5"/>
    <n v="934.55"/>
    <s v="August"/>
  </r>
  <r>
    <s v="S93"/>
    <x v="86"/>
    <x v="2"/>
    <x v="0"/>
    <s v="Grey"/>
    <x v="6"/>
    <x v="1"/>
    <n v="197.37"/>
    <n v="15"/>
    <n v="2960.55"/>
    <s v="June"/>
  </r>
  <r>
    <s v="S94"/>
    <x v="87"/>
    <x v="1"/>
    <x v="3"/>
    <s v="Red"/>
    <x v="3"/>
    <x v="0"/>
    <n v="153.47999999999999"/>
    <n v="6"/>
    <n v="920.88"/>
    <s v="August"/>
  </r>
  <r>
    <s v="S95"/>
    <x v="88"/>
    <x v="2"/>
    <x v="3"/>
    <s v="Green"/>
    <x v="0"/>
    <x v="2"/>
    <n v="199.61"/>
    <n v="9"/>
    <n v="1796.49"/>
    <s v="November"/>
  </r>
  <r>
    <s v="S96"/>
    <x v="89"/>
    <x v="1"/>
    <x v="4"/>
    <s v="White"/>
    <x v="3"/>
    <x v="2"/>
    <n v="138.63999999999999"/>
    <n v="3"/>
    <n v="415.92"/>
    <s v="August"/>
  </r>
  <r>
    <s v="S97"/>
    <x v="90"/>
    <x v="0"/>
    <x v="2"/>
    <s v="White"/>
    <x v="0"/>
    <x v="2"/>
    <n v="145"/>
    <n v="18"/>
    <n v="2610"/>
    <s v="June"/>
  </r>
  <r>
    <s v="S98"/>
    <x v="91"/>
    <x v="1"/>
    <x v="2"/>
    <s v="Black"/>
    <x v="6"/>
    <x v="2"/>
    <n v="124.06"/>
    <n v="5"/>
    <n v="620.29999999999995"/>
    <s v="December"/>
  </r>
  <r>
    <s v="S99"/>
    <x v="92"/>
    <x v="5"/>
    <x v="3"/>
    <s v="Black"/>
    <x v="0"/>
    <x v="2"/>
    <n v="35.590000000000003"/>
    <n v="18"/>
    <n v="640.62"/>
    <s v="June"/>
  </r>
  <r>
    <s v="S100"/>
    <x v="93"/>
    <x v="1"/>
    <x v="1"/>
    <s v="Grey"/>
    <x v="6"/>
    <x v="2"/>
    <n v="53.74"/>
    <n v="19"/>
    <n v="1021.06"/>
    <s v="July"/>
  </r>
  <r>
    <s v="S101"/>
    <x v="94"/>
    <x v="4"/>
    <x v="3"/>
    <s v="Red"/>
    <x v="5"/>
    <x v="1"/>
    <n v="36.909999999999997"/>
    <n v="12"/>
    <n v="442.92"/>
    <s v="January"/>
  </r>
  <r>
    <s v="S102"/>
    <x v="4"/>
    <x v="3"/>
    <x v="3"/>
    <s v="White"/>
    <x v="3"/>
    <x v="2"/>
    <n v="170.01"/>
    <n v="20"/>
    <n v="3400.2"/>
    <s v="October"/>
  </r>
  <r>
    <s v="S103"/>
    <x v="95"/>
    <x v="5"/>
    <x v="4"/>
    <s v="Green"/>
    <x v="2"/>
    <x v="2"/>
    <n v="99.16"/>
    <n v="1"/>
    <n v="99.16"/>
    <s v="September"/>
  </r>
  <r>
    <s v="S104"/>
    <x v="96"/>
    <x v="3"/>
    <x v="5"/>
    <s v="Grey"/>
    <x v="1"/>
    <x v="2"/>
    <n v="141.88999999999999"/>
    <n v="15"/>
    <n v="2128.35"/>
    <s v="March"/>
  </r>
  <r>
    <s v="S105"/>
    <x v="97"/>
    <x v="1"/>
    <x v="1"/>
    <s v="Black"/>
    <x v="2"/>
    <x v="2"/>
    <n v="229.66"/>
    <n v="19"/>
    <n v="4363.54"/>
    <s v="October"/>
  </r>
  <r>
    <s v="S106"/>
    <x v="98"/>
    <x v="3"/>
    <x v="1"/>
    <s v="Blue"/>
    <x v="6"/>
    <x v="2"/>
    <n v="84.84"/>
    <n v="15"/>
    <n v="1272.5999999999999"/>
    <s v="March"/>
  </r>
  <r>
    <s v="S107"/>
    <x v="99"/>
    <x v="4"/>
    <x v="4"/>
    <s v="Red"/>
    <x v="3"/>
    <x v="2"/>
    <n v="120.28"/>
    <n v="15"/>
    <n v="1804.2"/>
    <s v="April"/>
  </r>
  <r>
    <s v="S108"/>
    <x v="100"/>
    <x v="5"/>
    <x v="1"/>
    <s v="Green"/>
    <x v="5"/>
    <x v="0"/>
    <n v="196.22"/>
    <n v="3"/>
    <n v="588.66"/>
    <s v="May"/>
  </r>
  <r>
    <s v="S109"/>
    <x v="101"/>
    <x v="1"/>
    <x v="1"/>
    <s v="Green"/>
    <x v="1"/>
    <x v="0"/>
    <n v="80.34"/>
    <n v="8"/>
    <n v="642.72"/>
    <s v="June"/>
  </r>
  <r>
    <s v="S110"/>
    <x v="102"/>
    <x v="0"/>
    <x v="5"/>
    <s v="White"/>
    <x v="0"/>
    <x v="0"/>
    <n v="46.94"/>
    <n v="7"/>
    <n v="328.58"/>
    <s v="May"/>
  </r>
  <r>
    <s v="S111"/>
    <x v="78"/>
    <x v="2"/>
    <x v="2"/>
    <s v="Red"/>
    <x v="2"/>
    <x v="2"/>
    <n v="93.75"/>
    <n v="4"/>
    <n v="375"/>
    <s v="August"/>
  </r>
  <r>
    <s v="S112"/>
    <x v="103"/>
    <x v="2"/>
    <x v="5"/>
    <s v="Green"/>
    <x v="2"/>
    <x v="0"/>
    <n v="65.47"/>
    <n v="6"/>
    <n v="392.82"/>
    <s v="July"/>
  </r>
  <r>
    <s v="S113"/>
    <x v="104"/>
    <x v="0"/>
    <x v="5"/>
    <s v="Black"/>
    <x v="3"/>
    <x v="1"/>
    <n v="234.53"/>
    <n v="10"/>
    <n v="2345.3000000000002"/>
    <s v="March"/>
  </r>
  <r>
    <s v="S114"/>
    <x v="105"/>
    <x v="5"/>
    <x v="0"/>
    <s v="White"/>
    <x v="1"/>
    <x v="1"/>
    <n v="207.79"/>
    <n v="13"/>
    <n v="2701.27"/>
    <s v="December"/>
  </r>
  <r>
    <s v="S115"/>
    <x v="29"/>
    <x v="0"/>
    <x v="0"/>
    <s v="Blue"/>
    <x v="4"/>
    <x v="1"/>
    <n v="169.35"/>
    <n v="8"/>
    <n v="1354.8"/>
    <s v="December"/>
  </r>
  <r>
    <s v="S116"/>
    <x v="106"/>
    <x v="2"/>
    <x v="1"/>
    <s v="Blue"/>
    <x v="5"/>
    <x v="2"/>
    <n v="221.72"/>
    <n v="4"/>
    <n v="886.88"/>
    <s v="November"/>
  </r>
  <r>
    <s v="S117"/>
    <x v="107"/>
    <x v="0"/>
    <x v="5"/>
    <s v="Green"/>
    <x v="3"/>
    <x v="0"/>
    <n v="206.81"/>
    <n v="12"/>
    <n v="2481.7199999999998"/>
    <s v="December"/>
  </r>
  <r>
    <s v="S118"/>
    <x v="108"/>
    <x v="0"/>
    <x v="3"/>
    <s v="Blue"/>
    <x v="2"/>
    <x v="2"/>
    <n v="71.05"/>
    <n v="16"/>
    <n v="1136.8"/>
    <s v="August"/>
  </r>
  <r>
    <s v="S119"/>
    <x v="109"/>
    <x v="5"/>
    <x v="2"/>
    <s v="Green"/>
    <x v="5"/>
    <x v="1"/>
    <n v="226.36"/>
    <n v="5"/>
    <n v="1131.8"/>
    <s v="December"/>
  </r>
  <r>
    <s v="S120"/>
    <x v="110"/>
    <x v="2"/>
    <x v="3"/>
    <s v="Red"/>
    <x v="6"/>
    <x v="1"/>
    <n v="148.66"/>
    <n v="20"/>
    <n v="2973.2"/>
    <s v="May"/>
  </r>
  <r>
    <s v="S121"/>
    <x v="97"/>
    <x v="4"/>
    <x v="2"/>
    <s v="Black"/>
    <x v="3"/>
    <x v="2"/>
    <n v="207.64"/>
    <n v="9"/>
    <n v="1868.76"/>
    <s v="October"/>
  </r>
  <r>
    <s v="S122"/>
    <x v="111"/>
    <x v="2"/>
    <x v="5"/>
    <s v="Green"/>
    <x v="6"/>
    <x v="2"/>
    <n v="227.14"/>
    <n v="15"/>
    <n v="3407.1"/>
    <s v="May"/>
  </r>
  <r>
    <s v="S123"/>
    <x v="112"/>
    <x v="4"/>
    <x v="2"/>
    <s v="Red"/>
    <x v="0"/>
    <x v="2"/>
    <n v="99.96"/>
    <n v="16"/>
    <n v="1599.36"/>
    <s v="January"/>
  </r>
  <r>
    <s v="S124"/>
    <x v="113"/>
    <x v="4"/>
    <x v="5"/>
    <s v="Green"/>
    <x v="3"/>
    <x v="1"/>
    <n v="54.21"/>
    <n v="11"/>
    <n v="596.30999999999995"/>
    <s v="May"/>
  </r>
  <r>
    <s v="S125"/>
    <x v="114"/>
    <x v="3"/>
    <x v="1"/>
    <s v="White"/>
    <x v="2"/>
    <x v="2"/>
    <n v="80.150000000000006"/>
    <n v="17"/>
    <n v="1362.55"/>
    <s v="January"/>
  </r>
  <r>
    <s v="S126"/>
    <x v="115"/>
    <x v="3"/>
    <x v="0"/>
    <s v="Red"/>
    <x v="2"/>
    <x v="1"/>
    <n v="123.96"/>
    <n v="18"/>
    <n v="2231.2800000000002"/>
    <s v="September"/>
  </r>
  <r>
    <s v="S127"/>
    <x v="116"/>
    <x v="0"/>
    <x v="1"/>
    <s v="Blue"/>
    <x v="0"/>
    <x v="2"/>
    <n v="209.96"/>
    <n v="15"/>
    <n v="3149.4"/>
    <s v="September"/>
  </r>
  <r>
    <s v="S128"/>
    <x v="117"/>
    <x v="4"/>
    <x v="0"/>
    <s v="Grey"/>
    <x v="3"/>
    <x v="2"/>
    <n v="219.36"/>
    <n v="8"/>
    <n v="1754.88"/>
    <s v="December"/>
  </r>
  <r>
    <s v="S129"/>
    <x v="53"/>
    <x v="4"/>
    <x v="3"/>
    <s v="Green"/>
    <x v="5"/>
    <x v="2"/>
    <n v="31.53"/>
    <n v="17"/>
    <n v="536.01"/>
    <s v="October"/>
  </r>
  <r>
    <s v="S130"/>
    <x v="118"/>
    <x v="4"/>
    <x v="4"/>
    <s v="Blue"/>
    <x v="0"/>
    <x v="0"/>
    <n v="142.36000000000001"/>
    <n v="15"/>
    <n v="2135.4"/>
    <s v="June"/>
  </r>
  <r>
    <s v="S131"/>
    <x v="119"/>
    <x v="0"/>
    <x v="0"/>
    <s v="Grey"/>
    <x v="4"/>
    <x v="1"/>
    <n v="121.83"/>
    <n v="11"/>
    <n v="1340.13"/>
    <s v="April"/>
  </r>
  <r>
    <s v="S132"/>
    <x v="120"/>
    <x v="3"/>
    <x v="0"/>
    <s v="Red"/>
    <x v="3"/>
    <x v="1"/>
    <n v="78.86"/>
    <n v="7"/>
    <n v="552.02"/>
    <s v="April"/>
  </r>
  <r>
    <s v="S133"/>
    <x v="121"/>
    <x v="2"/>
    <x v="4"/>
    <s v="Black"/>
    <x v="4"/>
    <x v="0"/>
    <n v="56.37"/>
    <n v="17"/>
    <n v="958.29"/>
    <s v="October"/>
  </r>
  <r>
    <s v="S134"/>
    <x v="122"/>
    <x v="4"/>
    <x v="2"/>
    <s v="Blue"/>
    <x v="1"/>
    <x v="1"/>
    <n v="104.28"/>
    <n v="8"/>
    <n v="834.24"/>
    <s v="June"/>
  </r>
  <r>
    <s v="S135"/>
    <x v="123"/>
    <x v="4"/>
    <x v="1"/>
    <s v="Black"/>
    <x v="5"/>
    <x v="2"/>
    <n v="237.44"/>
    <n v="5"/>
    <n v="1187.2"/>
    <s v="October"/>
  </r>
  <r>
    <s v="S136"/>
    <x v="124"/>
    <x v="1"/>
    <x v="3"/>
    <s v="Black"/>
    <x v="4"/>
    <x v="0"/>
    <n v="101.1"/>
    <n v="5"/>
    <n v="505.5"/>
    <s v="December"/>
  </r>
  <r>
    <s v="S137"/>
    <x v="125"/>
    <x v="5"/>
    <x v="3"/>
    <s v="Red"/>
    <x v="3"/>
    <x v="0"/>
    <n v="144.13"/>
    <n v="10"/>
    <n v="1441.3"/>
    <s v="October"/>
  </r>
  <r>
    <s v="S138"/>
    <x v="126"/>
    <x v="5"/>
    <x v="1"/>
    <s v="Black"/>
    <x v="6"/>
    <x v="2"/>
    <n v="184.66"/>
    <n v="9"/>
    <n v="1661.94"/>
    <s v="January"/>
  </r>
  <r>
    <s v="S139"/>
    <x v="50"/>
    <x v="1"/>
    <x v="0"/>
    <s v="Black"/>
    <x v="0"/>
    <x v="0"/>
    <n v="110"/>
    <n v="19"/>
    <n v="2090"/>
    <s v="February"/>
  </r>
  <r>
    <s v="S140"/>
    <x v="127"/>
    <x v="0"/>
    <x v="2"/>
    <s v="Black"/>
    <x v="5"/>
    <x v="2"/>
    <n v="243.79"/>
    <n v="10"/>
    <n v="2437.9"/>
    <s v="October"/>
  </r>
  <r>
    <s v="S141"/>
    <x v="128"/>
    <x v="2"/>
    <x v="2"/>
    <s v="Grey"/>
    <x v="6"/>
    <x v="2"/>
    <n v="241.74"/>
    <n v="20"/>
    <n v="4834.8"/>
    <s v="November"/>
  </r>
  <r>
    <s v="S142"/>
    <x v="58"/>
    <x v="2"/>
    <x v="3"/>
    <s v="Blue"/>
    <x v="5"/>
    <x v="1"/>
    <n v="85.39"/>
    <n v="10"/>
    <n v="853.9"/>
    <s v="August"/>
  </r>
  <r>
    <s v="S143"/>
    <x v="41"/>
    <x v="1"/>
    <x v="1"/>
    <s v="White"/>
    <x v="2"/>
    <x v="0"/>
    <n v="139.38999999999999"/>
    <n v="20"/>
    <n v="2787.8"/>
    <s v="January"/>
  </r>
  <r>
    <s v="S144"/>
    <x v="49"/>
    <x v="3"/>
    <x v="2"/>
    <s v="White"/>
    <x v="5"/>
    <x v="0"/>
    <n v="96.19"/>
    <n v="3"/>
    <n v="288.57"/>
    <s v="May"/>
  </r>
  <r>
    <s v="S145"/>
    <x v="129"/>
    <x v="5"/>
    <x v="3"/>
    <s v="Green"/>
    <x v="5"/>
    <x v="2"/>
    <n v="92.66"/>
    <n v="1"/>
    <n v="92.66"/>
    <s v="March"/>
  </r>
  <r>
    <s v="S146"/>
    <x v="130"/>
    <x v="3"/>
    <x v="4"/>
    <s v="Green"/>
    <x v="3"/>
    <x v="1"/>
    <n v="38.119999999999997"/>
    <n v="2"/>
    <n v="76.239999999999995"/>
    <s v="May"/>
  </r>
  <r>
    <s v="S147"/>
    <x v="131"/>
    <x v="1"/>
    <x v="2"/>
    <s v="Blue"/>
    <x v="4"/>
    <x v="1"/>
    <n v="164.1"/>
    <n v="3"/>
    <n v="492.3"/>
    <s v="August"/>
  </r>
  <r>
    <s v="S148"/>
    <x v="121"/>
    <x v="5"/>
    <x v="1"/>
    <s v="Grey"/>
    <x v="0"/>
    <x v="1"/>
    <n v="140.59"/>
    <n v="7"/>
    <n v="984.13"/>
    <s v="October"/>
  </r>
  <r>
    <s v="S149"/>
    <x v="132"/>
    <x v="3"/>
    <x v="1"/>
    <s v="Black"/>
    <x v="0"/>
    <x v="2"/>
    <n v="41.33"/>
    <n v="9"/>
    <n v="371.97"/>
    <s v="March"/>
  </r>
  <r>
    <s v="S150"/>
    <x v="133"/>
    <x v="4"/>
    <x v="3"/>
    <s v="Black"/>
    <x v="6"/>
    <x v="1"/>
    <n v="91.3"/>
    <n v="19"/>
    <n v="1734.7"/>
    <s v="November"/>
  </r>
  <r>
    <s v="S151"/>
    <x v="76"/>
    <x v="4"/>
    <x v="5"/>
    <s v="Grey"/>
    <x v="6"/>
    <x v="2"/>
    <n v="229.82"/>
    <n v="13"/>
    <n v="2987.66"/>
    <s v="June"/>
  </r>
  <r>
    <s v="S152"/>
    <x v="134"/>
    <x v="0"/>
    <x v="3"/>
    <s v="Green"/>
    <x v="3"/>
    <x v="1"/>
    <n v="82.7"/>
    <n v="20"/>
    <n v="1654"/>
    <s v="February"/>
  </r>
  <r>
    <s v="S153"/>
    <x v="56"/>
    <x v="0"/>
    <x v="2"/>
    <s v="Green"/>
    <x v="4"/>
    <x v="1"/>
    <n v="61.88"/>
    <n v="1"/>
    <n v="61.88"/>
    <s v="May"/>
  </r>
  <r>
    <s v="S154"/>
    <x v="135"/>
    <x v="1"/>
    <x v="4"/>
    <s v="Grey"/>
    <x v="1"/>
    <x v="0"/>
    <n v="137.68"/>
    <n v="1"/>
    <n v="137.68"/>
    <s v="October"/>
  </r>
  <r>
    <s v="S155"/>
    <x v="136"/>
    <x v="1"/>
    <x v="3"/>
    <s v="Blue"/>
    <x v="0"/>
    <x v="1"/>
    <n v="246.84"/>
    <n v="17"/>
    <n v="4196.28"/>
    <s v="August"/>
  </r>
  <r>
    <s v="S156"/>
    <x v="137"/>
    <x v="0"/>
    <x v="3"/>
    <s v="Blue"/>
    <x v="6"/>
    <x v="2"/>
    <n v="83.25"/>
    <n v="16"/>
    <n v="1332"/>
    <s v="August"/>
  </r>
  <r>
    <s v="S157"/>
    <x v="77"/>
    <x v="3"/>
    <x v="4"/>
    <s v="Red"/>
    <x v="2"/>
    <x v="2"/>
    <n v="177.87"/>
    <n v="4"/>
    <n v="711.48"/>
    <s v="June"/>
  </r>
  <r>
    <s v="S158"/>
    <x v="138"/>
    <x v="2"/>
    <x v="1"/>
    <s v="Red"/>
    <x v="1"/>
    <x v="2"/>
    <n v="197.56"/>
    <n v="13"/>
    <n v="2568.2800000000002"/>
    <s v="May"/>
  </r>
  <r>
    <s v="S159"/>
    <x v="100"/>
    <x v="0"/>
    <x v="3"/>
    <s v="Grey"/>
    <x v="4"/>
    <x v="0"/>
    <n v="82.28"/>
    <n v="11"/>
    <n v="905.08"/>
    <s v="May"/>
  </r>
  <r>
    <s v="S160"/>
    <x v="139"/>
    <x v="5"/>
    <x v="3"/>
    <s v="Black"/>
    <x v="0"/>
    <x v="1"/>
    <n v="190.21"/>
    <n v="18"/>
    <n v="3423.78"/>
    <s v="December"/>
  </r>
  <r>
    <s v="S161"/>
    <x v="140"/>
    <x v="5"/>
    <x v="0"/>
    <s v="Red"/>
    <x v="4"/>
    <x v="0"/>
    <n v="110.91"/>
    <n v="20"/>
    <n v="2218.1999999999998"/>
    <s v="July"/>
  </r>
  <r>
    <s v="S162"/>
    <x v="141"/>
    <x v="2"/>
    <x v="2"/>
    <s v="Blue"/>
    <x v="6"/>
    <x v="1"/>
    <n v="169.11"/>
    <n v="9"/>
    <n v="1521.99"/>
    <s v="April"/>
  </r>
  <r>
    <s v="S163"/>
    <x v="95"/>
    <x v="0"/>
    <x v="0"/>
    <s v="Grey"/>
    <x v="4"/>
    <x v="0"/>
    <n v="169.38"/>
    <n v="4"/>
    <n v="677.52"/>
    <s v="September"/>
  </r>
  <r>
    <s v="S164"/>
    <x v="142"/>
    <x v="4"/>
    <x v="5"/>
    <s v="Black"/>
    <x v="5"/>
    <x v="2"/>
    <n v="147.87"/>
    <n v="6"/>
    <n v="887.22"/>
    <s v="December"/>
  </r>
  <r>
    <s v="S165"/>
    <x v="143"/>
    <x v="0"/>
    <x v="3"/>
    <s v="Black"/>
    <x v="2"/>
    <x v="0"/>
    <n v="49.86"/>
    <n v="8"/>
    <n v="398.88"/>
    <s v="February"/>
  </r>
  <r>
    <s v="S166"/>
    <x v="144"/>
    <x v="2"/>
    <x v="0"/>
    <s v="Blue"/>
    <x v="6"/>
    <x v="2"/>
    <n v="213.77"/>
    <n v="10"/>
    <n v="2137.6999999999998"/>
    <s v="September"/>
  </r>
  <r>
    <s v="S167"/>
    <x v="145"/>
    <x v="5"/>
    <x v="5"/>
    <s v="White"/>
    <x v="6"/>
    <x v="0"/>
    <n v="100.57"/>
    <n v="8"/>
    <n v="804.56"/>
    <s v="August"/>
  </r>
  <r>
    <s v="S168"/>
    <x v="146"/>
    <x v="1"/>
    <x v="2"/>
    <s v="Black"/>
    <x v="3"/>
    <x v="2"/>
    <n v="71.03"/>
    <n v="17"/>
    <n v="1207.51"/>
    <s v="November"/>
  </r>
  <r>
    <s v="S169"/>
    <x v="22"/>
    <x v="4"/>
    <x v="1"/>
    <s v="Blue"/>
    <x v="2"/>
    <x v="2"/>
    <n v="38.97"/>
    <n v="17"/>
    <n v="662.49"/>
    <s v="June"/>
  </r>
  <r>
    <s v="S170"/>
    <x v="135"/>
    <x v="1"/>
    <x v="3"/>
    <s v="White"/>
    <x v="6"/>
    <x v="1"/>
    <n v="160"/>
    <n v="19"/>
    <n v="3040"/>
    <s v="October"/>
  </r>
  <r>
    <s v="S171"/>
    <x v="147"/>
    <x v="4"/>
    <x v="5"/>
    <s v="Grey"/>
    <x v="6"/>
    <x v="2"/>
    <n v="179.06"/>
    <n v="12"/>
    <n v="2148.7199999999998"/>
    <s v="September"/>
  </r>
  <r>
    <s v="S172"/>
    <x v="77"/>
    <x v="1"/>
    <x v="2"/>
    <s v="Grey"/>
    <x v="6"/>
    <x v="0"/>
    <n v="33.65"/>
    <n v="7"/>
    <n v="235.55"/>
    <s v="June"/>
  </r>
  <r>
    <s v="S173"/>
    <x v="148"/>
    <x v="4"/>
    <x v="0"/>
    <s v="Red"/>
    <x v="2"/>
    <x v="2"/>
    <n v="142.66"/>
    <n v="2"/>
    <n v="285.32"/>
    <s v="July"/>
  </r>
  <r>
    <s v="S174"/>
    <x v="149"/>
    <x v="5"/>
    <x v="1"/>
    <s v="White"/>
    <x v="5"/>
    <x v="1"/>
    <n v="79.83"/>
    <n v="5"/>
    <n v="399.15"/>
    <s v="July"/>
  </r>
  <r>
    <s v="S175"/>
    <x v="92"/>
    <x v="5"/>
    <x v="1"/>
    <s v="Grey"/>
    <x v="6"/>
    <x v="0"/>
    <n v="171.94"/>
    <n v="4"/>
    <n v="687.76"/>
    <s v="June"/>
  </r>
  <r>
    <s v="S176"/>
    <x v="16"/>
    <x v="1"/>
    <x v="2"/>
    <s v="Black"/>
    <x v="6"/>
    <x v="2"/>
    <n v="68.36"/>
    <n v="14"/>
    <n v="957.04"/>
    <s v="March"/>
  </r>
  <r>
    <s v="S177"/>
    <x v="150"/>
    <x v="1"/>
    <x v="3"/>
    <s v="Green"/>
    <x v="1"/>
    <x v="2"/>
    <n v="182.01"/>
    <n v="20"/>
    <n v="3640.2"/>
    <s v="June"/>
  </r>
  <r>
    <s v="S178"/>
    <x v="151"/>
    <x v="5"/>
    <x v="4"/>
    <s v="Green"/>
    <x v="2"/>
    <x v="2"/>
    <n v="115.08"/>
    <n v="18"/>
    <n v="2071.44"/>
    <s v="December"/>
  </r>
  <r>
    <s v="S179"/>
    <x v="44"/>
    <x v="2"/>
    <x v="1"/>
    <s v="White"/>
    <x v="2"/>
    <x v="1"/>
    <n v="236.08"/>
    <n v="2"/>
    <n v="472.16"/>
    <s v="October"/>
  </r>
  <r>
    <s v="S180"/>
    <x v="138"/>
    <x v="1"/>
    <x v="1"/>
    <s v="Red"/>
    <x v="1"/>
    <x v="1"/>
    <n v="60.25"/>
    <n v="8"/>
    <n v="482"/>
    <s v="May"/>
  </r>
  <r>
    <s v="S181"/>
    <x v="52"/>
    <x v="5"/>
    <x v="2"/>
    <s v="Green"/>
    <x v="3"/>
    <x v="0"/>
    <n v="105.03"/>
    <n v="4"/>
    <n v="420.12"/>
    <s v="December"/>
  </r>
  <r>
    <s v="S182"/>
    <x v="152"/>
    <x v="0"/>
    <x v="4"/>
    <s v="Blue"/>
    <x v="3"/>
    <x v="2"/>
    <n v="54.96"/>
    <n v="11"/>
    <n v="604.55999999999995"/>
    <s v="January"/>
  </r>
  <r>
    <s v="S183"/>
    <x v="153"/>
    <x v="2"/>
    <x v="3"/>
    <s v="Grey"/>
    <x v="2"/>
    <x v="0"/>
    <n v="233.43"/>
    <n v="8"/>
    <n v="1867.44"/>
    <s v="March"/>
  </r>
  <r>
    <s v="S184"/>
    <x v="154"/>
    <x v="0"/>
    <x v="5"/>
    <s v="Red"/>
    <x v="5"/>
    <x v="1"/>
    <n v="223.01"/>
    <n v="6"/>
    <n v="1338.06"/>
    <s v="March"/>
  </r>
  <r>
    <s v="S185"/>
    <x v="155"/>
    <x v="2"/>
    <x v="2"/>
    <s v="White"/>
    <x v="6"/>
    <x v="1"/>
    <n v="86.75"/>
    <n v="16"/>
    <n v="1388"/>
    <s v="May"/>
  </r>
  <r>
    <s v="S186"/>
    <x v="156"/>
    <x v="4"/>
    <x v="0"/>
    <s v="Black"/>
    <x v="4"/>
    <x v="2"/>
    <n v="175.2"/>
    <n v="15"/>
    <n v="2628"/>
    <s v="May"/>
  </r>
  <r>
    <s v="S187"/>
    <x v="138"/>
    <x v="3"/>
    <x v="1"/>
    <s v="Red"/>
    <x v="3"/>
    <x v="1"/>
    <n v="209.79"/>
    <n v="18"/>
    <n v="3776.22"/>
    <s v="May"/>
  </r>
  <r>
    <s v="S188"/>
    <x v="157"/>
    <x v="1"/>
    <x v="4"/>
    <s v="Red"/>
    <x v="4"/>
    <x v="2"/>
    <n v="152.13999999999999"/>
    <n v="14"/>
    <n v="2129.96"/>
    <s v="June"/>
  </r>
  <r>
    <s v="S189"/>
    <x v="158"/>
    <x v="5"/>
    <x v="1"/>
    <s v="White"/>
    <x v="6"/>
    <x v="1"/>
    <n v="146.52000000000001"/>
    <n v="13"/>
    <n v="1904.76"/>
    <s v="April"/>
  </r>
  <r>
    <s v="S190"/>
    <x v="61"/>
    <x v="4"/>
    <x v="0"/>
    <s v="Blue"/>
    <x v="1"/>
    <x v="1"/>
    <n v="83.21"/>
    <n v="19"/>
    <n v="1580.99"/>
    <s v="July"/>
  </r>
  <r>
    <s v="S191"/>
    <x v="159"/>
    <x v="0"/>
    <x v="5"/>
    <s v="Green"/>
    <x v="4"/>
    <x v="1"/>
    <n v="50.48"/>
    <n v="9"/>
    <n v="454.32"/>
    <s v="July"/>
  </r>
  <r>
    <s v="S192"/>
    <x v="160"/>
    <x v="1"/>
    <x v="3"/>
    <s v="Blue"/>
    <x v="4"/>
    <x v="0"/>
    <n v="227.39"/>
    <n v="20"/>
    <n v="4547.8"/>
    <s v="January"/>
  </r>
  <r>
    <s v="S193"/>
    <x v="128"/>
    <x v="3"/>
    <x v="0"/>
    <s v="White"/>
    <x v="5"/>
    <x v="2"/>
    <n v="228.09"/>
    <n v="12"/>
    <n v="2737.08"/>
    <s v="November"/>
  </r>
  <r>
    <s v="S194"/>
    <x v="67"/>
    <x v="1"/>
    <x v="1"/>
    <s v="Green"/>
    <x v="2"/>
    <x v="0"/>
    <n v="169.28"/>
    <n v="5"/>
    <n v="846.4"/>
    <s v="December"/>
  </r>
  <r>
    <s v="S195"/>
    <x v="73"/>
    <x v="0"/>
    <x v="5"/>
    <s v="Blue"/>
    <x v="2"/>
    <x v="0"/>
    <n v="104.59"/>
    <n v="15"/>
    <n v="1568.85"/>
    <s v="June"/>
  </r>
  <r>
    <s v="S196"/>
    <x v="161"/>
    <x v="4"/>
    <x v="0"/>
    <s v="Red"/>
    <x v="0"/>
    <x v="0"/>
    <n v="106.83"/>
    <n v="10"/>
    <n v="1068.3"/>
    <s v="February"/>
  </r>
  <r>
    <s v="S197"/>
    <x v="162"/>
    <x v="4"/>
    <x v="5"/>
    <s v="Grey"/>
    <x v="3"/>
    <x v="0"/>
    <n v="189.71"/>
    <n v="18"/>
    <n v="3414.78"/>
    <s v="March"/>
  </r>
  <r>
    <s v="S198"/>
    <x v="163"/>
    <x v="4"/>
    <x v="0"/>
    <s v="Blue"/>
    <x v="4"/>
    <x v="0"/>
    <n v="227.36"/>
    <n v="16"/>
    <n v="3637.76"/>
    <s v="May"/>
  </r>
  <r>
    <s v="S199"/>
    <x v="164"/>
    <x v="3"/>
    <x v="2"/>
    <s v="Green"/>
    <x v="2"/>
    <x v="1"/>
    <n v="225.16"/>
    <n v="3"/>
    <n v="675.48"/>
    <s v="August"/>
  </r>
  <r>
    <s v="S200"/>
    <x v="165"/>
    <x v="4"/>
    <x v="1"/>
    <s v="Red"/>
    <x v="1"/>
    <x v="2"/>
    <n v="201.57"/>
    <n v="18"/>
    <n v="3628.26"/>
    <s v="July"/>
  </r>
  <r>
    <s v="S201"/>
    <x v="166"/>
    <x v="5"/>
    <x v="4"/>
    <s v="Green"/>
    <x v="2"/>
    <x v="1"/>
    <n v="171.25"/>
    <n v="4"/>
    <n v="685"/>
    <s v="October"/>
  </r>
  <r>
    <s v="S202"/>
    <x v="17"/>
    <x v="5"/>
    <x v="0"/>
    <s v="Blue"/>
    <x v="1"/>
    <x v="1"/>
    <n v="48.51"/>
    <n v="19"/>
    <n v="921.69"/>
    <s v="May"/>
  </r>
  <r>
    <s v="S203"/>
    <x v="167"/>
    <x v="0"/>
    <x v="5"/>
    <s v="Grey"/>
    <x v="3"/>
    <x v="1"/>
    <n v="65.56"/>
    <n v="16"/>
    <n v="1048.96"/>
    <s v="April"/>
  </r>
  <r>
    <s v="S204"/>
    <x v="168"/>
    <x v="1"/>
    <x v="3"/>
    <s v="Green"/>
    <x v="3"/>
    <x v="1"/>
    <n v="227.68"/>
    <n v="3"/>
    <n v="683.04"/>
    <s v="April"/>
  </r>
  <r>
    <s v="S205"/>
    <x v="169"/>
    <x v="3"/>
    <x v="1"/>
    <s v="Black"/>
    <x v="3"/>
    <x v="2"/>
    <n v="163.41"/>
    <n v="4"/>
    <n v="653.64"/>
    <s v="July"/>
  </r>
  <r>
    <s v="S206"/>
    <x v="170"/>
    <x v="3"/>
    <x v="5"/>
    <s v="White"/>
    <x v="6"/>
    <x v="2"/>
    <n v="32.020000000000003"/>
    <n v="4"/>
    <n v="128.08000000000001"/>
    <s v="March"/>
  </r>
  <r>
    <s v="S207"/>
    <x v="171"/>
    <x v="5"/>
    <x v="5"/>
    <s v="Green"/>
    <x v="2"/>
    <x v="0"/>
    <n v="52.32"/>
    <n v="18"/>
    <n v="941.76"/>
    <s v="July"/>
  </r>
  <r>
    <s v="S208"/>
    <x v="172"/>
    <x v="5"/>
    <x v="5"/>
    <s v="Red"/>
    <x v="3"/>
    <x v="0"/>
    <n v="175.97"/>
    <n v="4"/>
    <n v="703.88"/>
    <s v="August"/>
  </r>
  <r>
    <s v="S209"/>
    <x v="29"/>
    <x v="3"/>
    <x v="3"/>
    <s v="Red"/>
    <x v="0"/>
    <x v="2"/>
    <n v="31.11"/>
    <n v="12"/>
    <n v="373.32"/>
    <s v="December"/>
  </r>
  <r>
    <s v="S210"/>
    <x v="39"/>
    <x v="2"/>
    <x v="0"/>
    <s v="Blue"/>
    <x v="1"/>
    <x v="2"/>
    <n v="65.38"/>
    <n v="12"/>
    <n v="784.56"/>
    <s v="February"/>
  </r>
  <r>
    <s v="S211"/>
    <x v="173"/>
    <x v="0"/>
    <x v="3"/>
    <s v="Black"/>
    <x v="2"/>
    <x v="0"/>
    <n v="150.72"/>
    <n v="7"/>
    <n v="1055.04"/>
    <s v="May"/>
  </r>
  <r>
    <s v="S212"/>
    <x v="174"/>
    <x v="0"/>
    <x v="1"/>
    <s v="Blue"/>
    <x v="0"/>
    <x v="0"/>
    <n v="182.22"/>
    <n v="20"/>
    <n v="3644.4"/>
    <s v="November"/>
  </r>
  <r>
    <s v="S213"/>
    <x v="175"/>
    <x v="0"/>
    <x v="5"/>
    <s v="White"/>
    <x v="5"/>
    <x v="0"/>
    <n v="173.43"/>
    <n v="7"/>
    <n v="1214.01"/>
    <s v="October"/>
  </r>
  <r>
    <s v="S214"/>
    <x v="167"/>
    <x v="3"/>
    <x v="5"/>
    <s v="Black"/>
    <x v="3"/>
    <x v="0"/>
    <n v="79.34"/>
    <n v="11"/>
    <n v="872.74"/>
    <s v="April"/>
  </r>
  <r>
    <s v="S215"/>
    <x v="176"/>
    <x v="4"/>
    <x v="2"/>
    <s v="Black"/>
    <x v="2"/>
    <x v="0"/>
    <n v="186.68"/>
    <n v="18"/>
    <n v="3360.24"/>
    <s v="March"/>
  </r>
  <r>
    <s v="S216"/>
    <x v="162"/>
    <x v="4"/>
    <x v="2"/>
    <s v="Grey"/>
    <x v="3"/>
    <x v="0"/>
    <n v="82.19"/>
    <n v="1"/>
    <n v="82.19"/>
    <s v="March"/>
  </r>
  <r>
    <s v="S217"/>
    <x v="75"/>
    <x v="0"/>
    <x v="2"/>
    <s v="Green"/>
    <x v="6"/>
    <x v="1"/>
    <n v="101.59"/>
    <n v="9"/>
    <n v="914.31"/>
    <s v="March"/>
  </r>
  <r>
    <s v="S218"/>
    <x v="177"/>
    <x v="5"/>
    <x v="3"/>
    <s v="Blue"/>
    <x v="5"/>
    <x v="1"/>
    <n v="194.23"/>
    <n v="3"/>
    <n v="582.69000000000005"/>
    <s v="February"/>
  </r>
  <r>
    <s v="S219"/>
    <x v="178"/>
    <x v="2"/>
    <x v="2"/>
    <s v="Grey"/>
    <x v="1"/>
    <x v="1"/>
    <n v="172.92"/>
    <n v="15"/>
    <n v="2593.8000000000002"/>
    <s v="February"/>
  </r>
  <r>
    <s v="S220"/>
    <x v="179"/>
    <x v="4"/>
    <x v="3"/>
    <s v="Green"/>
    <x v="1"/>
    <x v="0"/>
    <n v="216.83"/>
    <n v="17"/>
    <n v="3686.11"/>
    <s v="December"/>
  </r>
  <r>
    <s v="S221"/>
    <x v="180"/>
    <x v="5"/>
    <x v="0"/>
    <s v="Black"/>
    <x v="6"/>
    <x v="1"/>
    <n v="174.67"/>
    <n v="13"/>
    <n v="2270.71"/>
    <s v="September"/>
  </r>
  <r>
    <s v="S222"/>
    <x v="181"/>
    <x v="0"/>
    <x v="4"/>
    <s v="Grey"/>
    <x v="0"/>
    <x v="0"/>
    <n v="155.03"/>
    <n v="3"/>
    <n v="465.09"/>
    <s v="August"/>
  </r>
  <r>
    <s v="S223"/>
    <x v="27"/>
    <x v="2"/>
    <x v="0"/>
    <s v="Grey"/>
    <x v="5"/>
    <x v="1"/>
    <n v="50.61"/>
    <n v="9"/>
    <n v="455.49"/>
    <s v="March"/>
  </r>
  <r>
    <s v="S224"/>
    <x v="182"/>
    <x v="2"/>
    <x v="5"/>
    <s v="Blue"/>
    <x v="6"/>
    <x v="1"/>
    <n v="110.9"/>
    <n v="13"/>
    <n v="1441.7"/>
    <s v="June"/>
  </r>
  <r>
    <s v="S225"/>
    <x v="7"/>
    <x v="0"/>
    <x v="0"/>
    <s v="Black"/>
    <x v="4"/>
    <x v="1"/>
    <n v="88.34"/>
    <n v="14"/>
    <n v="1236.76"/>
    <s v="November"/>
  </r>
  <r>
    <s v="S226"/>
    <x v="183"/>
    <x v="1"/>
    <x v="2"/>
    <s v="Red"/>
    <x v="6"/>
    <x v="0"/>
    <n v="83.68"/>
    <n v="18"/>
    <n v="1506.24"/>
    <s v="November"/>
  </r>
  <r>
    <s v="S227"/>
    <x v="184"/>
    <x v="5"/>
    <x v="3"/>
    <s v="Red"/>
    <x v="2"/>
    <x v="0"/>
    <n v="244.06"/>
    <n v="11"/>
    <n v="2684.66"/>
    <s v="July"/>
  </r>
  <r>
    <s v="S228"/>
    <x v="69"/>
    <x v="4"/>
    <x v="0"/>
    <s v="Blue"/>
    <x v="3"/>
    <x v="0"/>
    <n v="116.48"/>
    <n v="14"/>
    <n v="1630.72"/>
    <s v="June"/>
  </r>
  <r>
    <s v="S229"/>
    <x v="185"/>
    <x v="0"/>
    <x v="1"/>
    <s v="Black"/>
    <x v="1"/>
    <x v="2"/>
    <n v="226.25"/>
    <n v="16"/>
    <n v="3620"/>
    <s v="December"/>
  </r>
  <r>
    <s v="S230"/>
    <x v="35"/>
    <x v="3"/>
    <x v="5"/>
    <s v="Black"/>
    <x v="5"/>
    <x v="1"/>
    <n v="168.85"/>
    <n v="12"/>
    <n v="2026.2"/>
    <s v="February"/>
  </r>
  <r>
    <s v="S231"/>
    <x v="186"/>
    <x v="1"/>
    <x v="1"/>
    <s v="Red"/>
    <x v="3"/>
    <x v="1"/>
    <n v="204.86"/>
    <n v="11"/>
    <n v="2253.46"/>
    <s v="October"/>
  </r>
  <r>
    <s v="S232"/>
    <x v="2"/>
    <x v="4"/>
    <x v="5"/>
    <s v="Blue"/>
    <x v="3"/>
    <x v="0"/>
    <n v="140.58000000000001"/>
    <n v="2"/>
    <n v="281.16000000000003"/>
    <s v="August"/>
  </r>
  <r>
    <s v="S233"/>
    <x v="9"/>
    <x v="3"/>
    <x v="2"/>
    <s v="Green"/>
    <x v="6"/>
    <x v="0"/>
    <n v="156.91999999999999"/>
    <n v="17"/>
    <n v="2667.64"/>
    <s v="October"/>
  </r>
  <r>
    <s v="S234"/>
    <x v="178"/>
    <x v="2"/>
    <x v="4"/>
    <s v="Black"/>
    <x v="4"/>
    <x v="2"/>
    <n v="138.35"/>
    <n v="12"/>
    <n v="1660.2"/>
    <s v="February"/>
  </r>
  <r>
    <s v="S235"/>
    <x v="125"/>
    <x v="5"/>
    <x v="5"/>
    <s v="Grey"/>
    <x v="5"/>
    <x v="1"/>
    <n v="72.95"/>
    <n v="8"/>
    <n v="583.6"/>
    <s v="October"/>
  </r>
  <r>
    <s v="S236"/>
    <x v="187"/>
    <x v="0"/>
    <x v="5"/>
    <s v="Green"/>
    <x v="4"/>
    <x v="1"/>
    <n v="188.94"/>
    <n v="18"/>
    <n v="3400.92"/>
    <s v="November"/>
  </r>
  <r>
    <s v="S237"/>
    <x v="12"/>
    <x v="3"/>
    <x v="4"/>
    <s v="Green"/>
    <x v="4"/>
    <x v="2"/>
    <n v="91.77"/>
    <n v="1"/>
    <n v="91.77"/>
    <s v="May"/>
  </r>
  <r>
    <s v="S238"/>
    <x v="150"/>
    <x v="0"/>
    <x v="2"/>
    <s v="White"/>
    <x v="5"/>
    <x v="1"/>
    <n v="35.35"/>
    <n v="12"/>
    <n v="424.2"/>
    <s v="June"/>
  </r>
  <r>
    <s v="S239"/>
    <x v="188"/>
    <x v="3"/>
    <x v="0"/>
    <s v="Green"/>
    <x v="1"/>
    <x v="0"/>
    <n v="172"/>
    <n v="3"/>
    <n v="516"/>
    <s v="July"/>
  </r>
  <r>
    <s v="S240"/>
    <x v="189"/>
    <x v="5"/>
    <x v="3"/>
    <s v="Red"/>
    <x v="3"/>
    <x v="0"/>
    <n v="68.959999999999994"/>
    <n v="7"/>
    <n v="482.72"/>
    <s v="September"/>
  </r>
  <r>
    <s v="S241"/>
    <x v="171"/>
    <x v="1"/>
    <x v="4"/>
    <s v="Grey"/>
    <x v="5"/>
    <x v="0"/>
    <n v="236.9"/>
    <n v="10"/>
    <n v="2369"/>
    <s v="July"/>
  </r>
  <r>
    <s v="S242"/>
    <x v="126"/>
    <x v="3"/>
    <x v="5"/>
    <s v="Black"/>
    <x v="2"/>
    <x v="0"/>
    <n v="239.86"/>
    <n v="5"/>
    <n v="1199.3"/>
    <s v="January"/>
  </r>
  <r>
    <s v="S243"/>
    <x v="190"/>
    <x v="1"/>
    <x v="3"/>
    <s v="Red"/>
    <x v="5"/>
    <x v="2"/>
    <n v="231.27"/>
    <n v="15"/>
    <n v="3469.05"/>
    <s v="May"/>
  </r>
  <r>
    <s v="S244"/>
    <x v="172"/>
    <x v="3"/>
    <x v="5"/>
    <s v="Black"/>
    <x v="3"/>
    <x v="2"/>
    <n v="111.43"/>
    <n v="9"/>
    <n v="1002.87"/>
    <s v="August"/>
  </r>
  <r>
    <s v="S245"/>
    <x v="191"/>
    <x v="1"/>
    <x v="0"/>
    <s v="Grey"/>
    <x v="6"/>
    <x v="1"/>
    <n v="33.4"/>
    <n v="10"/>
    <n v="334"/>
    <s v="February"/>
  </r>
  <r>
    <s v="S246"/>
    <x v="192"/>
    <x v="0"/>
    <x v="2"/>
    <s v="Red"/>
    <x v="5"/>
    <x v="0"/>
    <n v="234.23"/>
    <n v="10"/>
    <n v="2342.3000000000002"/>
    <s v="December"/>
  </r>
  <r>
    <s v="S247"/>
    <x v="94"/>
    <x v="4"/>
    <x v="2"/>
    <s v="White"/>
    <x v="4"/>
    <x v="2"/>
    <n v="124.2"/>
    <n v="7"/>
    <n v="869.4"/>
    <s v="January"/>
  </r>
  <r>
    <s v="S248"/>
    <x v="10"/>
    <x v="0"/>
    <x v="1"/>
    <s v="Red"/>
    <x v="2"/>
    <x v="2"/>
    <n v="242.66"/>
    <n v="11"/>
    <n v="2669.26"/>
    <s v="May"/>
  </r>
  <r>
    <s v="S249"/>
    <x v="75"/>
    <x v="5"/>
    <x v="5"/>
    <s v="Green"/>
    <x v="0"/>
    <x v="1"/>
    <n v="242"/>
    <n v="5"/>
    <n v="1210"/>
    <s v="March"/>
  </r>
  <r>
    <s v="S250"/>
    <x v="62"/>
    <x v="0"/>
    <x v="3"/>
    <s v="Green"/>
    <x v="1"/>
    <x v="2"/>
    <n v="217.66"/>
    <n v="12"/>
    <n v="2611.92"/>
    <s v="October"/>
  </r>
  <r>
    <s v="S251"/>
    <x v="193"/>
    <x v="0"/>
    <x v="4"/>
    <s v="Grey"/>
    <x v="6"/>
    <x v="1"/>
    <n v="94.78"/>
    <n v="15"/>
    <n v="1421.7"/>
    <s v="January"/>
  </r>
  <r>
    <s v="S252"/>
    <x v="194"/>
    <x v="4"/>
    <x v="1"/>
    <s v="Red"/>
    <x v="1"/>
    <x v="2"/>
    <n v="114.72"/>
    <n v="14"/>
    <n v="1606.08"/>
    <s v="July"/>
  </r>
  <r>
    <s v="S253"/>
    <x v="154"/>
    <x v="5"/>
    <x v="0"/>
    <s v="Blue"/>
    <x v="1"/>
    <x v="2"/>
    <n v="217.25"/>
    <n v="20"/>
    <n v="4345"/>
    <s v="March"/>
  </r>
  <r>
    <s v="S254"/>
    <x v="54"/>
    <x v="5"/>
    <x v="5"/>
    <s v="Red"/>
    <x v="5"/>
    <x v="0"/>
    <n v="99.72"/>
    <n v="8"/>
    <n v="797.76"/>
    <s v="February"/>
  </r>
  <r>
    <s v="S255"/>
    <x v="159"/>
    <x v="1"/>
    <x v="4"/>
    <s v="White"/>
    <x v="3"/>
    <x v="0"/>
    <n v="67.290000000000006"/>
    <n v="10"/>
    <n v="672.9"/>
    <s v="July"/>
  </r>
  <r>
    <s v="S256"/>
    <x v="195"/>
    <x v="1"/>
    <x v="1"/>
    <s v="Grey"/>
    <x v="5"/>
    <x v="0"/>
    <n v="152.5"/>
    <n v="17"/>
    <n v="2592.5"/>
    <s v="February"/>
  </r>
  <r>
    <s v="S257"/>
    <x v="196"/>
    <x v="1"/>
    <x v="0"/>
    <s v="White"/>
    <x v="0"/>
    <x v="0"/>
    <n v="235.95"/>
    <n v="12"/>
    <n v="2831.4"/>
    <s v="June"/>
  </r>
  <r>
    <s v="S258"/>
    <x v="153"/>
    <x v="3"/>
    <x v="2"/>
    <s v="Grey"/>
    <x v="0"/>
    <x v="1"/>
    <n v="183.13"/>
    <n v="9"/>
    <n v="1648.17"/>
    <s v="March"/>
  </r>
  <r>
    <s v="S259"/>
    <x v="59"/>
    <x v="1"/>
    <x v="3"/>
    <s v="Red"/>
    <x v="4"/>
    <x v="1"/>
    <n v="155.41"/>
    <n v="6"/>
    <n v="932.46"/>
    <s v="February"/>
  </r>
  <r>
    <s v="S260"/>
    <x v="197"/>
    <x v="1"/>
    <x v="5"/>
    <s v="Green"/>
    <x v="2"/>
    <x v="1"/>
    <n v="51.38"/>
    <n v="15"/>
    <n v="770.7"/>
    <s v="October"/>
  </r>
  <r>
    <s v="S261"/>
    <x v="198"/>
    <x v="3"/>
    <x v="3"/>
    <s v="Black"/>
    <x v="6"/>
    <x v="2"/>
    <n v="165.3"/>
    <n v="11"/>
    <n v="1818.3"/>
    <s v="June"/>
  </r>
  <r>
    <s v="S262"/>
    <x v="199"/>
    <x v="4"/>
    <x v="5"/>
    <s v="Black"/>
    <x v="3"/>
    <x v="1"/>
    <n v="247.81"/>
    <n v="10"/>
    <n v="2478.1"/>
    <s v="November"/>
  </r>
  <r>
    <s v="S263"/>
    <x v="50"/>
    <x v="5"/>
    <x v="3"/>
    <s v="Black"/>
    <x v="1"/>
    <x v="2"/>
    <n v="60.82"/>
    <n v="10"/>
    <n v="608.20000000000005"/>
    <s v="February"/>
  </r>
  <r>
    <s v="S264"/>
    <x v="42"/>
    <x v="1"/>
    <x v="1"/>
    <s v="Grey"/>
    <x v="5"/>
    <x v="1"/>
    <n v="144.03"/>
    <n v="3"/>
    <n v="432.09"/>
    <s v="May"/>
  </r>
  <r>
    <s v="S265"/>
    <x v="200"/>
    <x v="2"/>
    <x v="5"/>
    <s v="Green"/>
    <x v="1"/>
    <x v="2"/>
    <n v="223.02"/>
    <n v="15"/>
    <n v="3345.3"/>
    <s v="July"/>
  </r>
  <r>
    <s v="S266"/>
    <x v="201"/>
    <x v="4"/>
    <x v="5"/>
    <s v="Red"/>
    <x v="5"/>
    <x v="0"/>
    <n v="192.97"/>
    <n v="7"/>
    <n v="1350.79"/>
    <s v="October"/>
  </r>
  <r>
    <s v="S267"/>
    <x v="202"/>
    <x v="0"/>
    <x v="4"/>
    <s v="Green"/>
    <x v="1"/>
    <x v="1"/>
    <n v="183.34"/>
    <n v="15"/>
    <n v="2750.1"/>
    <s v="February"/>
  </r>
  <r>
    <s v="S268"/>
    <x v="203"/>
    <x v="0"/>
    <x v="2"/>
    <s v="Green"/>
    <x v="6"/>
    <x v="2"/>
    <n v="184.55"/>
    <n v="6"/>
    <n v="1107.3"/>
    <s v="November"/>
  </r>
  <r>
    <s v="S269"/>
    <x v="204"/>
    <x v="2"/>
    <x v="2"/>
    <s v="Blue"/>
    <x v="3"/>
    <x v="2"/>
    <n v="109.09"/>
    <n v="17"/>
    <n v="1854.53"/>
    <s v="September"/>
  </r>
  <r>
    <s v="S270"/>
    <x v="205"/>
    <x v="4"/>
    <x v="0"/>
    <s v="Grey"/>
    <x v="1"/>
    <x v="1"/>
    <n v="94.59"/>
    <n v="14"/>
    <n v="1324.26"/>
    <s v="July"/>
  </r>
  <r>
    <s v="S271"/>
    <x v="206"/>
    <x v="0"/>
    <x v="4"/>
    <s v="Black"/>
    <x v="5"/>
    <x v="1"/>
    <n v="208.06"/>
    <n v="11"/>
    <n v="2288.66"/>
    <s v="November"/>
  </r>
  <r>
    <s v="S272"/>
    <x v="149"/>
    <x v="4"/>
    <x v="0"/>
    <s v="Green"/>
    <x v="5"/>
    <x v="0"/>
    <n v="208.22"/>
    <n v="10"/>
    <n v="2082.1999999999998"/>
    <s v="July"/>
  </r>
  <r>
    <s v="S273"/>
    <x v="207"/>
    <x v="2"/>
    <x v="0"/>
    <s v="White"/>
    <x v="3"/>
    <x v="2"/>
    <n v="220.76"/>
    <n v="3"/>
    <n v="662.28"/>
    <s v="June"/>
  </r>
  <r>
    <s v="S274"/>
    <x v="208"/>
    <x v="3"/>
    <x v="5"/>
    <s v="Green"/>
    <x v="1"/>
    <x v="2"/>
    <n v="230.91"/>
    <n v="13"/>
    <n v="3001.83"/>
    <s v="December"/>
  </r>
  <r>
    <s v="S275"/>
    <x v="62"/>
    <x v="1"/>
    <x v="4"/>
    <s v="White"/>
    <x v="2"/>
    <x v="1"/>
    <n v="142.5"/>
    <n v="13"/>
    <n v="1852.5"/>
    <s v="October"/>
  </r>
  <r>
    <s v="S276"/>
    <x v="209"/>
    <x v="0"/>
    <x v="0"/>
    <s v="Green"/>
    <x v="6"/>
    <x v="1"/>
    <n v="140.33000000000001"/>
    <n v="17"/>
    <n v="2385.61"/>
    <s v="December"/>
  </r>
  <r>
    <s v="S277"/>
    <x v="140"/>
    <x v="4"/>
    <x v="4"/>
    <s v="White"/>
    <x v="0"/>
    <x v="2"/>
    <n v="205.62"/>
    <n v="1"/>
    <n v="205.62"/>
    <s v="July"/>
  </r>
  <r>
    <s v="S278"/>
    <x v="95"/>
    <x v="3"/>
    <x v="2"/>
    <s v="White"/>
    <x v="1"/>
    <x v="2"/>
    <n v="172.99"/>
    <n v="7"/>
    <n v="1210.93"/>
    <s v="September"/>
  </r>
  <r>
    <s v="S279"/>
    <x v="210"/>
    <x v="2"/>
    <x v="0"/>
    <s v="Grey"/>
    <x v="1"/>
    <x v="1"/>
    <n v="184.43"/>
    <n v="17"/>
    <n v="3135.31"/>
    <s v="February"/>
  </r>
  <r>
    <s v="S280"/>
    <x v="211"/>
    <x v="3"/>
    <x v="5"/>
    <s v="Red"/>
    <x v="0"/>
    <x v="0"/>
    <n v="205.07"/>
    <n v="20"/>
    <n v="4101.3999999999996"/>
    <s v="June"/>
  </r>
  <r>
    <s v="S281"/>
    <x v="212"/>
    <x v="3"/>
    <x v="0"/>
    <s v="Red"/>
    <x v="1"/>
    <x v="2"/>
    <n v="225.8"/>
    <n v="20"/>
    <n v="4516"/>
    <s v="April"/>
  </r>
  <r>
    <s v="S282"/>
    <x v="213"/>
    <x v="5"/>
    <x v="5"/>
    <s v="Blue"/>
    <x v="4"/>
    <x v="1"/>
    <n v="104.36"/>
    <n v="8"/>
    <n v="834.88"/>
    <s v="July"/>
  </r>
  <r>
    <s v="S283"/>
    <x v="214"/>
    <x v="2"/>
    <x v="2"/>
    <s v="Blue"/>
    <x v="4"/>
    <x v="2"/>
    <n v="112.63"/>
    <n v="8"/>
    <n v="901.04"/>
    <s v="August"/>
  </r>
  <r>
    <s v="S284"/>
    <x v="215"/>
    <x v="1"/>
    <x v="5"/>
    <s v="Red"/>
    <x v="6"/>
    <x v="2"/>
    <n v="50.68"/>
    <n v="12"/>
    <n v="608.16"/>
    <s v="April"/>
  </r>
  <r>
    <s v="S285"/>
    <x v="20"/>
    <x v="2"/>
    <x v="3"/>
    <s v="White"/>
    <x v="4"/>
    <x v="0"/>
    <n v="157.22"/>
    <n v="17"/>
    <n v="2672.74"/>
    <s v="July"/>
  </r>
  <r>
    <s v="S286"/>
    <x v="7"/>
    <x v="4"/>
    <x v="1"/>
    <s v="Green"/>
    <x v="6"/>
    <x v="2"/>
    <n v="37.909999999999997"/>
    <n v="5"/>
    <n v="189.55"/>
    <s v="November"/>
  </r>
  <r>
    <s v="S287"/>
    <x v="53"/>
    <x v="1"/>
    <x v="5"/>
    <s v="Black"/>
    <x v="3"/>
    <x v="0"/>
    <n v="132.43"/>
    <n v="4"/>
    <n v="529.72"/>
    <s v="October"/>
  </r>
  <r>
    <s v="S288"/>
    <x v="216"/>
    <x v="5"/>
    <x v="5"/>
    <s v="White"/>
    <x v="4"/>
    <x v="2"/>
    <n v="149.38"/>
    <n v="9"/>
    <n v="1344.42"/>
    <s v="March"/>
  </r>
  <r>
    <s v="S289"/>
    <x v="161"/>
    <x v="5"/>
    <x v="4"/>
    <s v="Black"/>
    <x v="6"/>
    <x v="0"/>
    <n v="93.04"/>
    <n v="8"/>
    <n v="744.32"/>
    <s v="February"/>
  </r>
  <r>
    <s v="S290"/>
    <x v="159"/>
    <x v="4"/>
    <x v="2"/>
    <s v="Red"/>
    <x v="1"/>
    <x v="2"/>
    <n v="159.97999999999999"/>
    <n v="17"/>
    <n v="2719.66"/>
    <s v="July"/>
  </r>
  <r>
    <s v="S291"/>
    <x v="217"/>
    <x v="4"/>
    <x v="1"/>
    <s v="Green"/>
    <x v="2"/>
    <x v="2"/>
    <n v="36.71"/>
    <n v="1"/>
    <n v="36.71"/>
    <s v="April"/>
  </r>
  <r>
    <s v="S292"/>
    <x v="153"/>
    <x v="0"/>
    <x v="4"/>
    <s v="Red"/>
    <x v="2"/>
    <x v="0"/>
    <n v="38.22"/>
    <n v="5"/>
    <n v="191.1"/>
    <s v="March"/>
  </r>
  <r>
    <s v="S293"/>
    <x v="218"/>
    <x v="5"/>
    <x v="5"/>
    <s v="Black"/>
    <x v="1"/>
    <x v="0"/>
    <n v="210.97"/>
    <n v="16"/>
    <n v="3375.52"/>
    <s v="December"/>
  </r>
  <r>
    <s v="S294"/>
    <x v="163"/>
    <x v="3"/>
    <x v="5"/>
    <s v="Green"/>
    <x v="5"/>
    <x v="1"/>
    <n v="109.24"/>
    <n v="7"/>
    <n v="764.68"/>
    <s v="May"/>
  </r>
  <r>
    <s v="S295"/>
    <x v="2"/>
    <x v="4"/>
    <x v="2"/>
    <s v="Blue"/>
    <x v="1"/>
    <x v="0"/>
    <n v="57.95"/>
    <n v="4"/>
    <n v="231.8"/>
    <s v="August"/>
  </r>
  <r>
    <s v="S296"/>
    <x v="219"/>
    <x v="1"/>
    <x v="5"/>
    <s v="Red"/>
    <x v="1"/>
    <x v="0"/>
    <n v="144.88999999999999"/>
    <n v="14"/>
    <n v="2028.46"/>
    <s v="May"/>
  </r>
  <r>
    <s v="S297"/>
    <x v="144"/>
    <x v="2"/>
    <x v="1"/>
    <s v="Green"/>
    <x v="5"/>
    <x v="1"/>
    <n v="199.4"/>
    <n v="20"/>
    <n v="3988"/>
    <s v="September"/>
  </r>
  <r>
    <s v="S298"/>
    <x v="155"/>
    <x v="4"/>
    <x v="3"/>
    <s v="Black"/>
    <x v="5"/>
    <x v="2"/>
    <n v="77.48"/>
    <n v="5"/>
    <n v="387.4"/>
    <s v="May"/>
  </r>
  <r>
    <s v="S299"/>
    <x v="155"/>
    <x v="5"/>
    <x v="2"/>
    <s v="Green"/>
    <x v="2"/>
    <x v="0"/>
    <n v="167.04"/>
    <n v="19"/>
    <n v="3173.76"/>
    <s v="May"/>
  </r>
  <r>
    <s v="S300"/>
    <x v="204"/>
    <x v="0"/>
    <x v="5"/>
    <s v="Grey"/>
    <x v="5"/>
    <x v="1"/>
    <n v="48.78"/>
    <n v="12"/>
    <n v="585.36"/>
    <s v="September"/>
  </r>
  <r>
    <s v="S301"/>
    <x v="53"/>
    <x v="5"/>
    <x v="3"/>
    <s v="Black"/>
    <x v="2"/>
    <x v="2"/>
    <n v="41.37"/>
    <n v="1"/>
    <n v="41.37"/>
    <s v="October"/>
  </r>
  <r>
    <s v="S302"/>
    <x v="30"/>
    <x v="1"/>
    <x v="1"/>
    <s v="Blue"/>
    <x v="4"/>
    <x v="0"/>
    <n v="146.9"/>
    <n v="9"/>
    <n v="1322.1"/>
    <s v="July"/>
  </r>
  <r>
    <s v="S303"/>
    <x v="220"/>
    <x v="1"/>
    <x v="0"/>
    <s v="Green"/>
    <x v="1"/>
    <x v="1"/>
    <n v="148.94"/>
    <n v="8"/>
    <n v="1191.52"/>
    <s v="June"/>
  </r>
  <r>
    <s v="S304"/>
    <x v="207"/>
    <x v="0"/>
    <x v="4"/>
    <s v="Grey"/>
    <x v="3"/>
    <x v="1"/>
    <n v="170.23"/>
    <n v="5"/>
    <n v="851.15"/>
    <s v="June"/>
  </r>
  <r>
    <s v="S305"/>
    <x v="75"/>
    <x v="1"/>
    <x v="3"/>
    <s v="Green"/>
    <x v="0"/>
    <x v="0"/>
    <n v="189.74"/>
    <n v="15"/>
    <n v="2846.1"/>
    <s v="March"/>
  </r>
  <r>
    <s v="S306"/>
    <x v="31"/>
    <x v="0"/>
    <x v="4"/>
    <s v="White"/>
    <x v="1"/>
    <x v="0"/>
    <n v="244.69"/>
    <n v="15"/>
    <n v="3670.35"/>
    <s v="February"/>
  </r>
  <r>
    <s v="S307"/>
    <x v="221"/>
    <x v="4"/>
    <x v="5"/>
    <s v="Red"/>
    <x v="4"/>
    <x v="1"/>
    <n v="143.59"/>
    <n v="11"/>
    <n v="1579.49"/>
    <s v="January"/>
  </r>
  <r>
    <s v="S308"/>
    <x v="78"/>
    <x v="0"/>
    <x v="0"/>
    <s v="White"/>
    <x v="3"/>
    <x v="2"/>
    <n v="101.05"/>
    <n v="9"/>
    <n v="909.45"/>
    <s v="August"/>
  </r>
  <r>
    <s v="S309"/>
    <x v="222"/>
    <x v="4"/>
    <x v="1"/>
    <s v="Blue"/>
    <x v="6"/>
    <x v="2"/>
    <n v="204.94"/>
    <n v="11"/>
    <n v="2254.34"/>
    <s v="January"/>
  </r>
  <r>
    <s v="S310"/>
    <x v="89"/>
    <x v="4"/>
    <x v="2"/>
    <s v="Red"/>
    <x v="2"/>
    <x v="2"/>
    <n v="89.58"/>
    <n v="13"/>
    <n v="1164.54"/>
    <s v="August"/>
  </r>
  <r>
    <s v="S311"/>
    <x v="103"/>
    <x v="4"/>
    <x v="1"/>
    <s v="Green"/>
    <x v="6"/>
    <x v="0"/>
    <n v="126.57"/>
    <n v="17"/>
    <n v="2151.69"/>
    <s v="July"/>
  </r>
  <r>
    <s v="S312"/>
    <x v="223"/>
    <x v="3"/>
    <x v="5"/>
    <s v="Blue"/>
    <x v="3"/>
    <x v="0"/>
    <n v="47.26"/>
    <n v="20"/>
    <n v="945.2"/>
    <s v="August"/>
  </r>
  <r>
    <s v="S313"/>
    <x v="26"/>
    <x v="1"/>
    <x v="4"/>
    <s v="Blue"/>
    <x v="6"/>
    <x v="1"/>
    <n v="35.58"/>
    <n v="11"/>
    <n v="391.38"/>
    <s v="February"/>
  </r>
  <r>
    <s v="S314"/>
    <x v="224"/>
    <x v="1"/>
    <x v="3"/>
    <s v="Blue"/>
    <x v="6"/>
    <x v="0"/>
    <n v="241.78"/>
    <n v="6"/>
    <n v="1450.68"/>
    <s v="August"/>
  </r>
  <r>
    <s v="S315"/>
    <x v="118"/>
    <x v="5"/>
    <x v="4"/>
    <s v="Green"/>
    <x v="4"/>
    <x v="0"/>
    <n v="213.92"/>
    <n v="20"/>
    <n v="4278.3999999999996"/>
    <s v="June"/>
  </r>
  <r>
    <s v="S316"/>
    <x v="59"/>
    <x v="4"/>
    <x v="5"/>
    <s v="Green"/>
    <x v="2"/>
    <x v="0"/>
    <n v="183.11"/>
    <n v="13"/>
    <n v="2380.4299999999998"/>
    <s v="February"/>
  </r>
  <r>
    <s v="S317"/>
    <x v="225"/>
    <x v="2"/>
    <x v="0"/>
    <s v="Red"/>
    <x v="1"/>
    <x v="0"/>
    <n v="119.97"/>
    <n v="5"/>
    <n v="599.85"/>
    <s v="January"/>
  </r>
  <r>
    <s v="S318"/>
    <x v="33"/>
    <x v="1"/>
    <x v="4"/>
    <s v="Blue"/>
    <x v="6"/>
    <x v="1"/>
    <n v="68.12"/>
    <n v="8"/>
    <n v="544.96"/>
    <s v="February"/>
  </r>
  <r>
    <s v="S319"/>
    <x v="226"/>
    <x v="3"/>
    <x v="0"/>
    <s v="Red"/>
    <x v="3"/>
    <x v="2"/>
    <n v="64.42"/>
    <n v="20"/>
    <n v="1288.4000000000001"/>
    <s v="January"/>
  </r>
  <r>
    <s v="S320"/>
    <x v="181"/>
    <x v="2"/>
    <x v="2"/>
    <s v="Grey"/>
    <x v="3"/>
    <x v="2"/>
    <n v="85.05"/>
    <n v="3"/>
    <n v="255.15"/>
    <s v="August"/>
  </r>
  <r>
    <s v="S321"/>
    <x v="69"/>
    <x v="3"/>
    <x v="1"/>
    <s v="Black"/>
    <x v="2"/>
    <x v="0"/>
    <n v="150.83000000000001"/>
    <n v="9"/>
    <n v="1357.47"/>
    <s v="June"/>
  </r>
  <r>
    <s v="S322"/>
    <x v="144"/>
    <x v="5"/>
    <x v="5"/>
    <s v="Black"/>
    <x v="3"/>
    <x v="2"/>
    <n v="187.21"/>
    <n v="17"/>
    <n v="3182.57"/>
    <s v="September"/>
  </r>
  <r>
    <s v="S323"/>
    <x v="52"/>
    <x v="3"/>
    <x v="5"/>
    <s v="Blue"/>
    <x v="2"/>
    <x v="2"/>
    <n v="175.24"/>
    <n v="15"/>
    <n v="2628.6"/>
    <s v="December"/>
  </r>
  <r>
    <s v="S324"/>
    <x v="227"/>
    <x v="3"/>
    <x v="1"/>
    <s v="Red"/>
    <x v="0"/>
    <x v="1"/>
    <n v="91.59"/>
    <n v="4"/>
    <n v="366.36"/>
    <s v="April"/>
  </r>
  <r>
    <s v="S325"/>
    <x v="181"/>
    <x v="1"/>
    <x v="4"/>
    <s v="Green"/>
    <x v="3"/>
    <x v="1"/>
    <n v="240.07"/>
    <n v="3"/>
    <n v="720.21"/>
    <s v="August"/>
  </r>
  <r>
    <s v="S326"/>
    <x v="228"/>
    <x v="2"/>
    <x v="4"/>
    <s v="Blue"/>
    <x v="4"/>
    <x v="0"/>
    <n v="192.34"/>
    <n v="18"/>
    <n v="3462.12"/>
    <s v="February"/>
  </r>
  <r>
    <s v="S327"/>
    <x v="229"/>
    <x v="4"/>
    <x v="5"/>
    <s v="White"/>
    <x v="1"/>
    <x v="0"/>
    <n v="151.96"/>
    <n v="6"/>
    <n v="911.76"/>
    <s v="December"/>
  </r>
  <r>
    <s v="S328"/>
    <x v="1"/>
    <x v="5"/>
    <x v="1"/>
    <s v="Blue"/>
    <x v="5"/>
    <x v="1"/>
    <n v="164.58"/>
    <n v="8"/>
    <n v="1316.64"/>
    <s v="March"/>
  </r>
  <r>
    <s v="S329"/>
    <x v="103"/>
    <x v="2"/>
    <x v="2"/>
    <s v="Grey"/>
    <x v="1"/>
    <x v="0"/>
    <n v="122.31"/>
    <n v="15"/>
    <n v="1834.65"/>
    <s v="July"/>
  </r>
  <r>
    <s v="S330"/>
    <x v="73"/>
    <x v="1"/>
    <x v="0"/>
    <s v="Red"/>
    <x v="5"/>
    <x v="2"/>
    <n v="84.5"/>
    <n v="13"/>
    <n v="1098.5"/>
    <s v="June"/>
  </r>
  <r>
    <s v="S331"/>
    <x v="169"/>
    <x v="0"/>
    <x v="2"/>
    <s v="Blue"/>
    <x v="2"/>
    <x v="0"/>
    <n v="108.31"/>
    <n v="19"/>
    <n v="2057.89"/>
    <s v="July"/>
  </r>
  <r>
    <s v="S332"/>
    <x v="230"/>
    <x v="1"/>
    <x v="5"/>
    <s v="Blue"/>
    <x v="0"/>
    <x v="1"/>
    <n v="196.73"/>
    <n v="15"/>
    <n v="2950.95"/>
    <s v="August"/>
  </r>
  <r>
    <s v="S333"/>
    <x v="0"/>
    <x v="3"/>
    <x v="2"/>
    <s v="Red"/>
    <x v="5"/>
    <x v="0"/>
    <n v="33.17"/>
    <n v="19"/>
    <n v="630.23"/>
    <s v="November"/>
  </r>
  <r>
    <s v="S334"/>
    <x v="231"/>
    <x v="3"/>
    <x v="4"/>
    <s v="White"/>
    <x v="0"/>
    <x v="2"/>
    <n v="55.54"/>
    <n v="17"/>
    <n v="944.18"/>
    <s v="March"/>
  </r>
  <r>
    <s v="S335"/>
    <x v="142"/>
    <x v="4"/>
    <x v="5"/>
    <s v="Blue"/>
    <x v="4"/>
    <x v="0"/>
    <n v="40.119999999999997"/>
    <n v="8"/>
    <n v="320.95999999999998"/>
    <s v="December"/>
  </r>
  <r>
    <s v="S336"/>
    <x v="56"/>
    <x v="1"/>
    <x v="5"/>
    <s v="Blue"/>
    <x v="0"/>
    <x v="1"/>
    <n v="38.96"/>
    <n v="7"/>
    <n v="272.72000000000003"/>
    <s v="May"/>
  </r>
  <r>
    <s v="S337"/>
    <x v="76"/>
    <x v="2"/>
    <x v="1"/>
    <s v="Grey"/>
    <x v="2"/>
    <x v="0"/>
    <n v="218.2"/>
    <n v="20"/>
    <n v="4364"/>
    <s v="June"/>
  </r>
  <r>
    <s v="S338"/>
    <x v="97"/>
    <x v="3"/>
    <x v="2"/>
    <s v="Green"/>
    <x v="5"/>
    <x v="1"/>
    <n v="184.8"/>
    <n v="19"/>
    <n v="3511.2"/>
    <s v="October"/>
  </r>
  <r>
    <s v="S339"/>
    <x v="7"/>
    <x v="2"/>
    <x v="1"/>
    <s v="Black"/>
    <x v="1"/>
    <x v="0"/>
    <n v="134.32"/>
    <n v="11"/>
    <n v="1477.52"/>
    <s v="November"/>
  </r>
  <r>
    <s v="S340"/>
    <x v="174"/>
    <x v="4"/>
    <x v="0"/>
    <s v="White"/>
    <x v="4"/>
    <x v="1"/>
    <n v="51.52"/>
    <n v="19"/>
    <n v="978.88"/>
    <s v="November"/>
  </r>
  <r>
    <s v="S341"/>
    <x v="232"/>
    <x v="1"/>
    <x v="1"/>
    <s v="Red"/>
    <x v="2"/>
    <x v="1"/>
    <n v="138.16"/>
    <n v="20"/>
    <n v="2763.2"/>
    <s v="August"/>
  </r>
  <r>
    <s v="S342"/>
    <x v="10"/>
    <x v="5"/>
    <x v="2"/>
    <s v="Green"/>
    <x v="6"/>
    <x v="2"/>
    <n v="134.16"/>
    <n v="10"/>
    <n v="1341.6"/>
    <s v="May"/>
  </r>
  <r>
    <s v="S343"/>
    <x v="131"/>
    <x v="1"/>
    <x v="1"/>
    <s v="White"/>
    <x v="6"/>
    <x v="2"/>
    <n v="68.099999999999994"/>
    <n v="3"/>
    <n v="204.3"/>
    <s v="August"/>
  </r>
  <r>
    <s v="S344"/>
    <x v="147"/>
    <x v="3"/>
    <x v="4"/>
    <s v="Grey"/>
    <x v="0"/>
    <x v="2"/>
    <n v="125.45"/>
    <n v="15"/>
    <n v="1881.75"/>
    <s v="September"/>
  </r>
  <r>
    <s v="S345"/>
    <x v="90"/>
    <x v="5"/>
    <x v="2"/>
    <s v="Blue"/>
    <x v="5"/>
    <x v="1"/>
    <n v="117.67"/>
    <n v="12"/>
    <n v="1412.04"/>
    <s v="June"/>
  </r>
  <r>
    <s v="S346"/>
    <x v="54"/>
    <x v="3"/>
    <x v="3"/>
    <s v="Black"/>
    <x v="3"/>
    <x v="2"/>
    <n v="165.49"/>
    <n v="11"/>
    <n v="1820.39"/>
    <s v="February"/>
  </r>
  <r>
    <s v="S347"/>
    <x v="102"/>
    <x v="0"/>
    <x v="1"/>
    <s v="Blue"/>
    <x v="6"/>
    <x v="1"/>
    <n v="169.72"/>
    <n v="5"/>
    <n v="848.6"/>
    <s v="May"/>
  </r>
  <r>
    <s v="S348"/>
    <x v="233"/>
    <x v="3"/>
    <x v="4"/>
    <s v="Grey"/>
    <x v="2"/>
    <x v="2"/>
    <n v="39.97"/>
    <n v="8"/>
    <n v="319.76"/>
    <s v="August"/>
  </r>
  <r>
    <s v="S349"/>
    <x v="70"/>
    <x v="5"/>
    <x v="5"/>
    <s v="Red"/>
    <x v="6"/>
    <x v="2"/>
    <n v="112.41"/>
    <n v="6"/>
    <n v="674.46"/>
    <s v="April"/>
  </r>
  <r>
    <s v="S350"/>
    <x v="234"/>
    <x v="0"/>
    <x v="3"/>
    <s v="Grey"/>
    <x v="6"/>
    <x v="0"/>
    <n v="167.69"/>
    <n v="1"/>
    <n v="167.69"/>
    <s v="September"/>
  </r>
  <r>
    <s v="S351"/>
    <x v="235"/>
    <x v="4"/>
    <x v="1"/>
    <s v="Black"/>
    <x v="3"/>
    <x v="2"/>
    <n v="140.69"/>
    <n v="19"/>
    <n v="2673.11"/>
    <s v="April"/>
  </r>
  <r>
    <s v="S352"/>
    <x v="236"/>
    <x v="4"/>
    <x v="5"/>
    <s v="Black"/>
    <x v="4"/>
    <x v="0"/>
    <n v="218.43"/>
    <n v="16"/>
    <n v="3494.88"/>
    <s v="November"/>
  </r>
  <r>
    <s v="S353"/>
    <x v="223"/>
    <x v="4"/>
    <x v="0"/>
    <s v="Blue"/>
    <x v="4"/>
    <x v="2"/>
    <n v="174.91"/>
    <n v="5"/>
    <n v="874.55"/>
    <s v="August"/>
  </r>
  <r>
    <s v="S354"/>
    <x v="237"/>
    <x v="5"/>
    <x v="1"/>
    <s v="Grey"/>
    <x v="5"/>
    <x v="0"/>
    <n v="65.849999999999994"/>
    <n v="2"/>
    <n v="131.69999999999999"/>
    <s v="July"/>
  </r>
  <r>
    <s v="S355"/>
    <x v="140"/>
    <x v="4"/>
    <x v="1"/>
    <s v="Red"/>
    <x v="5"/>
    <x v="2"/>
    <n v="45.53"/>
    <n v="18"/>
    <n v="819.54"/>
    <s v="July"/>
  </r>
  <r>
    <s v="S356"/>
    <x v="238"/>
    <x v="2"/>
    <x v="0"/>
    <s v="Grey"/>
    <x v="1"/>
    <x v="0"/>
    <n v="171.33"/>
    <n v="9"/>
    <n v="1541.97"/>
    <s v="October"/>
  </r>
  <r>
    <s v="S357"/>
    <x v="35"/>
    <x v="4"/>
    <x v="4"/>
    <s v="Grey"/>
    <x v="3"/>
    <x v="0"/>
    <n v="35.83"/>
    <n v="13"/>
    <n v="465.79"/>
    <s v="February"/>
  </r>
  <r>
    <s v="S358"/>
    <x v="158"/>
    <x v="2"/>
    <x v="3"/>
    <s v="Grey"/>
    <x v="1"/>
    <x v="0"/>
    <n v="158.87"/>
    <n v="20"/>
    <n v="3177.4"/>
    <s v="April"/>
  </r>
  <r>
    <s v="S359"/>
    <x v="64"/>
    <x v="1"/>
    <x v="4"/>
    <s v="Red"/>
    <x v="5"/>
    <x v="2"/>
    <n v="236.85"/>
    <n v="5"/>
    <n v="1184.25"/>
    <s v="January"/>
  </r>
  <r>
    <s v="S360"/>
    <x v="132"/>
    <x v="2"/>
    <x v="2"/>
    <s v="Blue"/>
    <x v="5"/>
    <x v="2"/>
    <n v="156.6"/>
    <n v="20"/>
    <n v="3132"/>
    <s v="March"/>
  </r>
  <r>
    <s v="S361"/>
    <x v="104"/>
    <x v="2"/>
    <x v="0"/>
    <s v="Blue"/>
    <x v="5"/>
    <x v="2"/>
    <n v="115.4"/>
    <n v="13"/>
    <n v="1500.2"/>
    <s v="March"/>
  </r>
  <r>
    <s v="S362"/>
    <x v="239"/>
    <x v="2"/>
    <x v="3"/>
    <s v="Green"/>
    <x v="5"/>
    <x v="2"/>
    <n v="171.52"/>
    <n v="17"/>
    <n v="2915.84"/>
    <s v="September"/>
  </r>
  <r>
    <s v="S363"/>
    <x v="240"/>
    <x v="4"/>
    <x v="4"/>
    <s v="Green"/>
    <x v="1"/>
    <x v="2"/>
    <n v="130.82"/>
    <n v="1"/>
    <n v="130.82"/>
    <s v="September"/>
  </r>
  <r>
    <s v="S364"/>
    <x v="241"/>
    <x v="1"/>
    <x v="0"/>
    <s v="Green"/>
    <x v="1"/>
    <x v="1"/>
    <n v="150.04"/>
    <n v="10"/>
    <n v="1500.4"/>
    <s v="October"/>
  </r>
  <r>
    <s v="S365"/>
    <x v="78"/>
    <x v="1"/>
    <x v="5"/>
    <s v="Grey"/>
    <x v="0"/>
    <x v="1"/>
    <n v="237.12"/>
    <n v="9"/>
    <n v="2134.08"/>
    <s v="August"/>
  </r>
  <r>
    <s v="S366"/>
    <x v="126"/>
    <x v="5"/>
    <x v="2"/>
    <s v="Grey"/>
    <x v="2"/>
    <x v="1"/>
    <n v="114.94"/>
    <n v="19"/>
    <n v="2183.86"/>
    <s v="January"/>
  </r>
  <r>
    <s v="S367"/>
    <x v="48"/>
    <x v="3"/>
    <x v="0"/>
    <s v="White"/>
    <x v="1"/>
    <x v="1"/>
    <n v="241.46"/>
    <n v="13"/>
    <n v="3138.98"/>
    <s v="November"/>
  </r>
  <r>
    <s v="S368"/>
    <x v="242"/>
    <x v="3"/>
    <x v="1"/>
    <s v="Red"/>
    <x v="3"/>
    <x v="2"/>
    <n v="229.18"/>
    <n v="4"/>
    <n v="916.72"/>
    <s v="December"/>
  </r>
  <r>
    <s v="S369"/>
    <x v="243"/>
    <x v="1"/>
    <x v="2"/>
    <s v="Red"/>
    <x v="5"/>
    <x v="1"/>
    <n v="73.069999999999993"/>
    <n v="14"/>
    <n v="1022.98"/>
    <s v="March"/>
  </r>
  <r>
    <s v="S370"/>
    <x v="145"/>
    <x v="1"/>
    <x v="2"/>
    <s v="Grey"/>
    <x v="0"/>
    <x v="1"/>
    <n v="45.26"/>
    <n v="2"/>
    <n v="90.52"/>
    <s v="August"/>
  </r>
  <r>
    <s v="S371"/>
    <x v="182"/>
    <x v="2"/>
    <x v="3"/>
    <s v="Blue"/>
    <x v="0"/>
    <x v="2"/>
    <n v="52.17"/>
    <n v="16"/>
    <n v="834.72"/>
    <s v="June"/>
  </r>
  <r>
    <s v="S372"/>
    <x v="244"/>
    <x v="2"/>
    <x v="4"/>
    <s v="Green"/>
    <x v="4"/>
    <x v="1"/>
    <n v="34.01"/>
    <n v="11"/>
    <n v="374.11"/>
    <s v="September"/>
  </r>
  <r>
    <s v="S373"/>
    <x v="21"/>
    <x v="2"/>
    <x v="3"/>
    <s v="White"/>
    <x v="0"/>
    <x v="2"/>
    <n v="50.78"/>
    <n v="9"/>
    <n v="457.02"/>
    <s v="December"/>
  </r>
  <r>
    <s v="S374"/>
    <x v="14"/>
    <x v="3"/>
    <x v="4"/>
    <s v="Blue"/>
    <x v="2"/>
    <x v="0"/>
    <n v="180.26"/>
    <n v="10"/>
    <n v="1802.6"/>
    <s v="October"/>
  </r>
  <r>
    <s v="S375"/>
    <x v="29"/>
    <x v="4"/>
    <x v="3"/>
    <s v="Blue"/>
    <x v="5"/>
    <x v="1"/>
    <n v="45.66"/>
    <n v="16"/>
    <n v="730.56"/>
    <s v="December"/>
  </r>
  <r>
    <s v="S376"/>
    <x v="245"/>
    <x v="0"/>
    <x v="5"/>
    <s v="Green"/>
    <x v="5"/>
    <x v="2"/>
    <n v="100.17"/>
    <n v="10"/>
    <n v="1001.7"/>
    <s v="May"/>
  </r>
  <r>
    <s v="S377"/>
    <x v="159"/>
    <x v="3"/>
    <x v="4"/>
    <s v="Black"/>
    <x v="3"/>
    <x v="1"/>
    <n v="215.87"/>
    <n v="12"/>
    <n v="2590.44"/>
    <s v="July"/>
  </r>
  <r>
    <s v="S378"/>
    <x v="26"/>
    <x v="5"/>
    <x v="0"/>
    <s v="Blue"/>
    <x v="2"/>
    <x v="2"/>
    <n v="35.119999999999997"/>
    <n v="12"/>
    <n v="421.44"/>
    <s v="February"/>
  </r>
  <r>
    <s v="S379"/>
    <x v="246"/>
    <x v="2"/>
    <x v="4"/>
    <s v="Grey"/>
    <x v="2"/>
    <x v="2"/>
    <n v="209.18"/>
    <n v="7"/>
    <n v="1464.26"/>
    <s v="April"/>
  </r>
  <r>
    <s v="S380"/>
    <x v="18"/>
    <x v="2"/>
    <x v="0"/>
    <s v="Grey"/>
    <x v="0"/>
    <x v="0"/>
    <n v="92.01"/>
    <n v="4"/>
    <n v="368.04"/>
    <s v="March"/>
  </r>
  <r>
    <s v="S381"/>
    <x v="160"/>
    <x v="3"/>
    <x v="0"/>
    <s v="White"/>
    <x v="1"/>
    <x v="0"/>
    <n v="56"/>
    <n v="17"/>
    <n v="952"/>
    <s v="January"/>
  </r>
  <r>
    <s v="S382"/>
    <x v="184"/>
    <x v="1"/>
    <x v="3"/>
    <s v="Black"/>
    <x v="2"/>
    <x v="0"/>
    <n v="183.28"/>
    <n v="11"/>
    <n v="2016.08"/>
    <s v="July"/>
  </r>
  <r>
    <s v="S383"/>
    <x v="247"/>
    <x v="3"/>
    <x v="3"/>
    <s v="Green"/>
    <x v="6"/>
    <x v="2"/>
    <n v="168.37"/>
    <n v="18"/>
    <n v="3030.66"/>
    <s v="January"/>
  </r>
  <r>
    <s v="S384"/>
    <x v="183"/>
    <x v="4"/>
    <x v="4"/>
    <s v="Blue"/>
    <x v="2"/>
    <x v="0"/>
    <n v="223.04"/>
    <n v="7"/>
    <n v="1561.28"/>
    <s v="November"/>
  </r>
  <r>
    <s v="S385"/>
    <x v="248"/>
    <x v="3"/>
    <x v="5"/>
    <s v="Green"/>
    <x v="2"/>
    <x v="0"/>
    <n v="191.72"/>
    <n v="19"/>
    <n v="3642.68"/>
    <s v="February"/>
  </r>
  <r>
    <s v="S386"/>
    <x v="75"/>
    <x v="3"/>
    <x v="1"/>
    <s v="Red"/>
    <x v="4"/>
    <x v="2"/>
    <n v="206.77"/>
    <n v="14"/>
    <n v="2894.78"/>
    <s v="March"/>
  </r>
  <r>
    <s v="S387"/>
    <x v="46"/>
    <x v="0"/>
    <x v="1"/>
    <s v="Blue"/>
    <x v="5"/>
    <x v="1"/>
    <n v="92.05"/>
    <n v="10"/>
    <n v="920.5"/>
    <s v="April"/>
  </r>
  <r>
    <s v="S388"/>
    <x v="54"/>
    <x v="4"/>
    <x v="3"/>
    <s v="Green"/>
    <x v="5"/>
    <x v="1"/>
    <n v="69.040000000000006"/>
    <n v="11"/>
    <n v="759.44"/>
    <s v="February"/>
  </r>
  <r>
    <s v="S389"/>
    <x v="249"/>
    <x v="2"/>
    <x v="3"/>
    <s v="Blue"/>
    <x v="0"/>
    <x v="0"/>
    <n v="195.14"/>
    <n v="5"/>
    <n v="975.7"/>
    <s v="September"/>
  </r>
  <r>
    <s v="S390"/>
    <x v="92"/>
    <x v="1"/>
    <x v="3"/>
    <s v="Green"/>
    <x v="3"/>
    <x v="1"/>
    <n v="207.5"/>
    <n v="6"/>
    <n v="1245"/>
    <s v="June"/>
  </r>
  <r>
    <s v="S391"/>
    <x v="46"/>
    <x v="1"/>
    <x v="4"/>
    <s v="Blue"/>
    <x v="5"/>
    <x v="1"/>
    <n v="247.91"/>
    <n v="1"/>
    <n v="247.91"/>
    <s v="April"/>
  </r>
  <r>
    <s v="S392"/>
    <x v="119"/>
    <x v="2"/>
    <x v="0"/>
    <s v="Red"/>
    <x v="4"/>
    <x v="2"/>
    <n v="120.78"/>
    <n v="6"/>
    <n v="724.68"/>
    <s v="April"/>
  </r>
  <r>
    <s v="S393"/>
    <x v="250"/>
    <x v="0"/>
    <x v="3"/>
    <s v="Green"/>
    <x v="1"/>
    <x v="0"/>
    <n v="111.84"/>
    <n v="11"/>
    <n v="1230.24"/>
    <s v="September"/>
  </r>
  <r>
    <s v="S394"/>
    <x v="1"/>
    <x v="4"/>
    <x v="2"/>
    <s v="Black"/>
    <x v="3"/>
    <x v="2"/>
    <n v="200.81"/>
    <n v="16"/>
    <n v="3212.96"/>
    <s v="March"/>
  </r>
  <r>
    <s v="S395"/>
    <x v="251"/>
    <x v="4"/>
    <x v="4"/>
    <s v="Blue"/>
    <x v="5"/>
    <x v="1"/>
    <n v="104.98"/>
    <n v="15"/>
    <n v="1574.7"/>
    <s v="May"/>
  </r>
  <r>
    <s v="S396"/>
    <x v="125"/>
    <x v="4"/>
    <x v="0"/>
    <s v="Blue"/>
    <x v="2"/>
    <x v="0"/>
    <n v="234.77"/>
    <n v="1"/>
    <n v="234.77"/>
    <s v="October"/>
  </r>
  <r>
    <s v="S397"/>
    <x v="202"/>
    <x v="5"/>
    <x v="4"/>
    <s v="White"/>
    <x v="6"/>
    <x v="1"/>
    <n v="218.85"/>
    <n v="4"/>
    <n v="875.4"/>
    <s v="February"/>
  </r>
  <r>
    <s v="S398"/>
    <x v="252"/>
    <x v="1"/>
    <x v="1"/>
    <s v="Green"/>
    <x v="3"/>
    <x v="2"/>
    <n v="124.38"/>
    <n v="10"/>
    <n v="1243.8"/>
    <s v="September"/>
  </r>
  <r>
    <s v="S399"/>
    <x v="253"/>
    <x v="3"/>
    <x v="2"/>
    <s v="Red"/>
    <x v="0"/>
    <x v="2"/>
    <n v="195.19"/>
    <n v="8"/>
    <n v="1561.52"/>
    <s v="November"/>
  </r>
  <r>
    <s v="S400"/>
    <x v="128"/>
    <x v="5"/>
    <x v="0"/>
    <s v="Grey"/>
    <x v="6"/>
    <x v="1"/>
    <n v="196"/>
    <n v="12"/>
    <n v="2352"/>
    <s v="November"/>
  </r>
  <r>
    <s v="S401"/>
    <x v="254"/>
    <x v="3"/>
    <x v="0"/>
    <s v="Grey"/>
    <x v="4"/>
    <x v="0"/>
    <n v="52.69"/>
    <n v="7"/>
    <n v="368.83"/>
    <s v="December"/>
  </r>
  <r>
    <s v="S402"/>
    <x v="255"/>
    <x v="2"/>
    <x v="0"/>
    <s v="Blue"/>
    <x v="1"/>
    <x v="1"/>
    <n v="228.56"/>
    <n v="15"/>
    <n v="3428.4"/>
    <s v="September"/>
  </r>
  <r>
    <s v="S403"/>
    <x v="25"/>
    <x v="2"/>
    <x v="5"/>
    <s v="White"/>
    <x v="5"/>
    <x v="1"/>
    <n v="141.16"/>
    <n v="2"/>
    <n v="282.32"/>
    <s v="February"/>
  </r>
  <r>
    <s v="S404"/>
    <x v="132"/>
    <x v="4"/>
    <x v="5"/>
    <s v="Red"/>
    <x v="1"/>
    <x v="1"/>
    <n v="211.82"/>
    <n v="6"/>
    <n v="1270.92"/>
    <s v="March"/>
  </r>
  <r>
    <s v="S405"/>
    <x v="256"/>
    <x v="5"/>
    <x v="1"/>
    <s v="Grey"/>
    <x v="6"/>
    <x v="0"/>
    <n v="100.41"/>
    <n v="19"/>
    <n v="1907.79"/>
    <s v="April"/>
  </r>
  <r>
    <s v="S406"/>
    <x v="131"/>
    <x v="2"/>
    <x v="3"/>
    <s v="Red"/>
    <x v="5"/>
    <x v="0"/>
    <n v="227.02"/>
    <n v="5"/>
    <n v="1135.0999999999999"/>
    <s v="August"/>
  </r>
  <r>
    <s v="S407"/>
    <x v="62"/>
    <x v="1"/>
    <x v="4"/>
    <s v="Green"/>
    <x v="1"/>
    <x v="2"/>
    <n v="115.62"/>
    <n v="15"/>
    <n v="1734.3"/>
    <s v="October"/>
  </r>
  <r>
    <s v="S408"/>
    <x v="156"/>
    <x v="1"/>
    <x v="2"/>
    <s v="Grey"/>
    <x v="1"/>
    <x v="0"/>
    <n v="32.380000000000003"/>
    <n v="1"/>
    <n v="32.380000000000003"/>
    <s v="May"/>
  </r>
  <r>
    <s v="S409"/>
    <x v="2"/>
    <x v="1"/>
    <x v="1"/>
    <s v="Grey"/>
    <x v="1"/>
    <x v="0"/>
    <n v="229.18"/>
    <n v="12"/>
    <n v="2750.16"/>
    <s v="August"/>
  </r>
  <r>
    <s v="S410"/>
    <x v="145"/>
    <x v="4"/>
    <x v="3"/>
    <s v="White"/>
    <x v="4"/>
    <x v="0"/>
    <n v="50.08"/>
    <n v="2"/>
    <n v="100.16"/>
    <s v="August"/>
  </r>
  <r>
    <s v="S411"/>
    <x v="174"/>
    <x v="4"/>
    <x v="3"/>
    <s v="Red"/>
    <x v="4"/>
    <x v="2"/>
    <n v="100.25"/>
    <n v="14"/>
    <n v="1403.5"/>
    <s v="November"/>
  </r>
  <r>
    <s v="S412"/>
    <x v="257"/>
    <x v="1"/>
    <x v="0"/>
    <s v="Grey"/>
    <x v="0"/>
    <x v="1"/>
    <n v="239.01"/>
    <n v="3"/>
    <n v="717.03"/>
    <s v="July"/>
  </r>
  <r>
    <s v="S413"/>
    <x v="196"/>
    <x v="3"/>
    <x v="5"/>
    <s v="Red"/>
    <x v="5"/>
    <x v="0"/>
    <n v="239.13"/>
    <n v="4"/>
    <n v="956.52"/>
    <s v="June"/>
  </r>
  <r>
    <s v="S414"/>
    <x v="217"/>
    <x v="0"/>
    <x v="4"/>
    <s v="Red"/>
    <x v="2"/>
    <x v="1"/>
    <n v="156.16"/>
    <n v="1"/>
    <n v="156.16"/>
    <s v="April"/>
  </r>
  <r>
    <s v="S415"/>
    <x v="258"/>
    <x v="2"/>
    <x v="3"/>
    <s v="White"/>
    <x v="0"/>
    <x v="2"/>
    <n v="169"/>
    <n v="14"/>
    <n v="2366"/>
    <s v="October"/>
  </r>
  <r>
    <s v="S416"/>
    <x v="259"/>
    <x v="4"/>
    <x v="2"/>
    <s v="Green"/>
    <x v="4"/>
    <x v="0"/>
    <n v="128.66"/>
    <n v="5"/>
    <n v="643.29999999999995"/>
    <s v="June"/>
  </r>
  <r>
    <s v="S417"/>
    <x v="226"/>
    <x v="2"/>
    <x v="1"/>
    <s v="White"/>
    <x v="0"/>
    <x v="0"/>
    <n v="94.51"/>
    <n v="14"/>
    <n v="1323.14"/>
    <s v="January"/>
  </r>
  <r>
    <s v="S418"/>
    <x v="210"/>
    <x v="0"/>
    <x v="3"/>
    <s v="Grey"/>
    <x v="2"/>
    <x v="1"/>
    <n v="102.31"/>
    <n v="20"/>
    <n v="2046.2"/>
    <s v="February"/>
  </r>
  <r>
    <s v="S419"/>
    <x v="222"/>
    <x v="1"/>
    <x v="1"/>
    <s v="Red"/>
    <x v="6"/>
    <x v="0"/>
    <n v="177.95"/>
    <n v="8"/>
    <n v="1423.6"/>
    <s v="January"/>
  </r>
  <r>
    <s v="S420"/>
    <x v="24"/>
    <x v="0"/>
    <x v="2"/>
    <s v="Grey"/>
    <x v="3"/>
    <x v="0"/>
    <n v="195.52"/>
    <n v="7"/>
    <n v="1368.64"/>
    <s v="October"/>
  </r>
  <r>
    <s v="S421"/>
    <x v="260"/>
    <x v="2"/>
    <x v="5"/>
    <s v="Green"/>
    <x v="4"/>
    <x v="2"/>
    <n v="204.15"/>
    <n v="11"/>
    <n v="2245.65"/>
    <s v="October"/>
  </r>
  <r>
    <s v="S422"/>
    <x v="261"/>
    <x v="3"/>
    <x v="0"/>
    <s v="Grey"/>
    <x v="0"/>
    <x v="2"/>
    <n v="203.72"/>
    <n v="10"/>
    <n v="2037.2"/>
    <s v="May"/>
  </r>
  <r>
    <s v="S423"/>
    <x v="157"/>
    <x v="0"/>
    <x v="5"/>
    <s v="Grey"/>
    <x v="2"/>
    <x v="0"/>
    <n v="50.07"/>
    <n v="9"/>
    <n v="450.63"/>
    <s v="June"/>
  </r>
  <r>
    <s v="S424"/>
    <x v="262"/>
    <x v="2"/>
    <x v="3"/>
    <s v="Black"/>
    <x v="3"/>
    <x v="1"/>
    <n v="138.77000000000001"/>
    <n v="14"/>
    <n v="1942.78"/>
    <s v="November"/>
  </r>
  <r>
    <s v="S425"/>
    <x v="263"/>
    <x v="2"/>
    <x v="4"/>
    <s v="Green"/>
    <x v="6"/>
    <x v="2"/>
    <n v="42.66"/>
    <n v="13"/>
    <n v="554.58000000000004"/>
    <s v="December"/>
  </r>
  <r>
    <s v="S426"/>
    <x v="132"/>
    <x v="5"/>
    <x v="2"/>
    <s v="Grey"/>
    <x v="6"/>
    <x v="0"/>
    <n v="150.9"/>
    <n v="10"/>
    <n v="1509"/>
    <s v="March"/>
  </r>
  <r>
    <s v="S427"/>
    <x v="80"/>
    <x v="1"/>
    <x v="2"/>
    <s v="Red"/>
    <x v="1"/>
    <x v="1"/>
    <n v="127.14"/>
    <n v="10"/>
    <n v="1271.4000000000001"/>
    <s v="April"/>
  </r>
  <r>
    <s v="S428"/>
    <x v="184"/>
    <x v="2"/>
    <x v="5"/>
    <s v="White"/>
    <x v="6"/>
    <x v="0"/>
    <n v="225.29"/>
    <n v="14"/>
    <n v="3154.06"/>
    <s v="July"/>
  </r>
  <r>
    <s v="S429"/>
    <x v="156"/>
    <x v="4"/>
    <x v="0"/>
    <s v="Black"/>
    <x v="6"/>
    <x v="2"/>
    <n v="107.2"/>
    <n v="7"/>
    <n v="750.4"/>
    <s v="May"/>
  </r>
  <r>
    <s v="S430"/>
    <x v="143"/>
    <x v="1"/>
    <x v="2"/>
    <s v="Black"/>
    <x v="3"/>
    <x v="2"/>
    <n v="55.75"/>
    <n v="18"/>
    <n v="1003.5"/>
    <s v="February"/>
  </r>
  <r>
    <s v="S431"/>
    <x v="264"/>
    <x v="2"/>
    <x v="1"/>
    <s v="Black"/>
    <x v="0"/>
    <x v="1"/>
    <n v="61.46"/>
    <n v="20"/>
    <n v="1229.2"/>
    <s v="December"/>
  </r>
  <r>
    <s v="S432"/>
    <x v="263"/>
    <x v="3"/>
    <x v="3"/>
    <s v="White"/>
    <x v="4"/>
    <x v="2"/>
    <n v="197.53"/>
    <n v="18"/>
    <n v="3555.54"/>
    <s v="December"/>
  </r>
  <r>
    <s v="S433"/>
    <x v="76"/>
    <x v="3"/>
    <x v="2"/>
    <s v="Green"/>
    <x v="1"/>
    <x v="1"/>
    <n v="166.01"/>
    <n v="1"/>
    <n v="166.01"/>
    <s v="June"/>
  </r>
  <r>
    <s v="S434"/>
    <x v="180"/>
    <x v="1"/>
    <x v="5"/>
    <s v="Green"/>
    <x v="0"/>
    <x v="2"/>
    <n v="52.25"/>
    <n v="8"/>
    <n v="418"/>
    <s v="September"/>
  </r>
  <r>
    <s v="S435"/>
    <x v="219"/>
    <x v="4"/>
    <x v="4"/>
    <s v="Red"/>
    <x v="6"/>
    <x v="1"/>
    <n v="48.5"/>
    <n v="18"/>
    <n v="873"/>
    <s v="May"/>
  </r>
  <r>
    <s v="S436"/>
    <x v="265"/>
    <x v="4"/>
    <x v="4"/>
    <s v="Blue"/>
    <x v="5"/>
    <x v="2"/>
    <n v="184.21"/>
    <n v="12"/>
    <n v="2210.52"/>
    <s v="November"/>
  </r>
  <r>
    <s v="S437"/>
    <x v="266"/>
    <x v="1"/>
    <x v="3"/>
    <s v="Blue"/>
    <x v="0"/>
    <x v="2"/>
    <n v="46.01"/>
    <n v="4"/>
    <n v="184.04"/>
    <s v="August"/>
  </r>
  <r>
    <s v="S438"/>
    <x v="69"/>
    <x v="0"/>
    <x v="5"/>
    <s v="White"/>
    <x v="2"/>
    <x v="0"/>
    <n v="210.81"/>
    <n v="14"/>
    <n v="2951.34"/>
    <s v="June"/>
  </r>
  <r>
    <s v="S439"/>
    <x v="267"/>
    <x v="2"/>
    <x v="5"/>
    <s v="Grey"/>
    <x v="2"/>
    <x v="2"/>
    <n v="185.37"/>
    <n v="9"/>
    <n v="1668.33"/>
    <s v="January"/>
  </r>
  <r>
    <s v="S440"/>
    <x v="122"/>
    <x v="3"/>
    <x v="4"/>
    <s v="White"/>
    <x v="6"/>
    <x v="1"/>
    <n v="47.9"/>
    <n v="5"/>
    <n v="239.5"/>
    <s v="June"/>
  </r>
  <r>
    <s v="S441"/>
    <x v="13"/>
    <x v="2"/>
    <x v="0"/>
    <s v="Green"/>
    <x v="3"/>
    <x v="2"/>
    <n v="48.66"/>
    <n v="16"/>
    <n v="778.56"/>
    <s v="May"/>
  </r>
  <r>
    <s v="S442"/>
    <x v="115"/>
    <x v="5"/>
    <x v="2"/>
    <s v="Green"/>
    <x v="4"/>
    <x v="2"/>
    <n v="247.06"/>
    <n v="16"/>
    <n v="3952.96"/>
    <s v="September"/>
  </r>
  <r>
    <s v="S443"/>
    <x v="268"/>
    <x v="1"/>
    <x v="5"/>
    <s v="Red"/>
    <x v="0"/>
    <x v="1"/>
    <n v="112.34"/>
    <n v="5"/>
    <n v="561.70000000000005"/>
    <s v="March"/>
  </r>
  <r>
    <s v="S444"/>
    <x v="174"/>
    <x v="2"/>
    <x v="1"/>
    <s v="Black"/>
    <x v="4"/>
    <x v="1"/>
    <n v="111.54"/>
    <n v="2"/>
    <n v="223.08"/>
    <s v="November"/>
  </r>
  <r>
    <s v="S445"/>
    <x v="222"/>
    <x v="5"/>
    <x v="2"/>
    <s v="Green"/>
    <x v="0"/>
    <x v="0"/>
    <n v="208.82"/>
    <n v="1"/>
    <n v="208.82"/>
    <s v="January"/>
  </r>
  <r>
    <s v="S446"/>
    <x v="109"/>
    <x v="0"/>
    <x v="2"/>
    <s v="Grey"/>
    <x v="6"/>
    <x v="2"/>
    <n v="238.39"/>
    <n v="5"/>
    <n v="1191.95"/>
    <s v="December"/>
  </r>
  <r>
    <s v="S447"/>
    <x v="41"/>
    <x v="1"/>
    <x v="0"/>
    <s v="Grey"/>
    <x v="6"/>
    <x v="1"/>
    <n v="246.92"/>
    <n v="20"/>
    <n v="4938.3999999999996"/>
    <s v="January"/>
  </r>
  <r>
    <s v="S448"/>
    <x v="43"/>
    <x v="0"/>
    <x v="5"/>
    <s v="Grey"/>
    <x v="6"/>
    <x v="0"/>
    <n v="195.74"/>
    <n v="1"/>
    <n v="195.74"/>
    <s v="September"/>
  </r>
  <r>
    <s v="S449"/>
    <x v="267"/>
    <x v="1"/>
    <x v="4"/>
    <s v="Grey"/>
    <x v="3"/>
    <x v="0"/>
    <n v="112.78"/>
    <n v="17"/>
    <n v="1917.26"/>
    <s v="January"/>
  </r>
  <r>
    <s v="S450"/>
    <x v="252"/>
    <x v="3"/>
    <x v="1"/>
    <s v="Black"/>
    <x v="5"/>
    <x v="0"/>
    <n v="48.37"/>
    <n v="14"/>
    <n v="677.18"/>
    <s v="September"/>
  </r>
  <r>
    <s v="S451"/>
    <x v="155"/>
    <x v="2"/>
    <x v="5"/>
    <s v="Blue"/>
    <x v="4"/>
    <x v="2"/>
    <n v="200.97"/>
    <n v="7"/>
    <n v="1406.79"/>
    <s v="May"/>
  </r>
  <r>
    <s v="S452"/>
    <x v="12"/>
    <x v="0"/>
    <x v="4"/>
    <s v="Red"/>
    <x v="6"/>
    <x v="1"/>
    <n v="152.85"/>
    <n v="13"/>
    <n v="1987.05"/>
    <s v="May"/>
  </r>
  <r>
    <s v="S453"/>
    <x v="111"/>
    <x v="4"/>
    <x v="0"/>
    <s v="Black"/>
    <x v="2"/>
    <x v="1"/>
    <n v="123.33"/>
    <n v="8"/>
    <n v="986.64"/>
    <s v="May"/>
  </r>
  <r>
    <s v="S454"/>
    <x v="226"/>
    <x v="5"/>
    <x v="3"/>
    <s v="Red"/>
    <x v="5"/>
    <x v="2"/>
    <n v="229.4"/>
    <n v="3"/>
    <n v="688.2"/>
    <s v="January"/>
  </r>
  <r>
    <s v="S455"/>
    <x v="269"/>
    <x v="1"/>
    <x v="2"/>
    <s v="Black"/>
    <x v="6"/>
    <x v="2"/>
    <n v="54.46"/>
    <n v="1"/>
    <n v="54.46"/>
    <s v="January"/>
  </r>
  <r>
    <s v="S456"/>
    <x v="203"/>
    <x v="2"/>
    <x v="1"/>
    <s v="Grey"/>
    <x v="1"/>
    <x v="0"/>
    <n v="138.38"/>
    <n v="11"/>
    <n v="1522.18"/>
    <s v="November"/>
  </r>
  <r>
    <s v="S457"/>
    <x v="99"/>
    <x v="5"/>
    <x v="4"/>
    <s v="Black"/>
    <x v="1"/>
    <x v="1"/>
    <n v="32.5"/>
    <n v="19"/>
    <n v="617.5"/>
    <s v="April"/>
  </r>
  <r>
    <s v="S458"/>
    <x v="270"/>
    <x v="2"/>
    <x v="0"/>
    <s v="Black"/>
    <x v="0"/>
    <x v="2"/>
    <n v="133.11000000000001"/>
    <n v="18"/>
    <n v="2395.98"/>
    <s v="May"/>
  </r>
  <r>
    <s v="S459"/>
    <x v="267"/>
    <x v="2"/>
    <x v="2"/>
    <s v="Green"/>
    <x v="4"/>
    <x v="2"/>
    <n v="42.39"/>
    <n v="7"/>
    <n v="296.73"/>
    <s v="January"/>
  </r>
  <r>
    <s v="S460"/>
    <x v="195"/>
    <x v="3"/>
    <x v="5"/>
    <s v="White"/>
    <x v="5"/>
    <x v="2"/>
    <n v="56.14"/>
    <n v="10"/>
    <n v="561.4"/>
    <s v="February"/>
  </r>
  <r>
    <s v="S461"/>
    <x v="105"/>
    <x v="4"/>
    <x v="3"/>
    <s v="Green"/>
    <x v="0"/>
    <x v="1"/>
    <n v="55.86"/>
    <n v="18"/>
    <n v="1005.48"/>
    <s v="December"/>
  </r>
  <r>
    <s v="S462"/>
    <x v="26"/>
    <x v="1"/>
    <x v="4"/>
    <s v="Black"/>
    <x v="1"/>
    <x v="2"/>
    <n v="172.83"/>
    <n v="17"/>
    <n v="2938.11"/>
    <s v="February"/>
  </r>
  <r>
    <s v="S463"/>
    <x v="271"/>
    <x v="4"/>
    <x v="5"/>
    <s v="Grey"/>
    <x v="5"/>
    <x v="2"/>
    <n v="194.13"/>
    <n v="3"/>
    <n v="582.39"/>
    <s v="April"/>
  </r>
  <r>
    <s v="S464"/>
    <x v="272"/>
    <x v="1"/>
    <x v="4"/>
    <s v="Red"/>
    <x v="6"/>
    <x v="0"/>
    <n v="158.34"/>
    <n v="1"/>
    <n v="158.34"/>
    <s v="June"/>
  </r>
  <r>
    <s v="S465"/>
    <x v="273"/>
    <x v="5"/>
    <x v="3"/>
    <s v="White"/>
    <x v="2"/>
    <x v="1"/>
    <n v="241.68"/>
    <n v="18"/>
    <n v="4350.24"/>
    <s v="July"/>
  </r>
  <r>
    <s v="S466"/>
    <x v="107"/>
    <x v="0"/>
    <x v="5"/>
    <s v="Blue"/>
    <x v="4"/>
    <x v="0"/>
    <n v="112.47"/>
    <n v="13"/>
    <n v="1462.11"/>
    <s v="December"/>
  </r>
  <r>
    <s v="S467"/>
    <x v="50"/>
    <x v="4"/>
    <x v="2"/>
    <s v="Red"/>
    <x v="2"/>
    <x v="1"/>
    <n v="92.86"/>
    <n v="3"/>
    <n v="278.58"/>
    <s v="February"/>
  </r>
  <r>
    <s v="S468"/>
    <x v="19"/>
    <x v="4"/>
    <x v="4"/>
    <s v="Black"/>
    <x v="1"/>
    <x v="0"/>
    <n v="221.09"/>
    <n v="13"/>
    <n v="2874.17"/>
    <s v="March"/>
  </r>
  <r>
    <s v="S469"/>
    <x v="274"/>
    <x v="4"/>
    <x v="4"/>
    <s v="Black"/>
    <x v="0"/>
    <x v="0"/>
    <n v="79.19"/>
    <n v="15"/>
    <n v="1187.8499999999999"/>
    <s v="June"/>
  </r>
  <r>
    <s v="S470"/>
    <x v="46"/>
    <x v="5"/>
    <x v="5"/>
    <s v="Grey"/>
    <x v="5"/>
    <x v="2"/>
    <n v="241.91"/>
    <n v="14"/>
    <n v="3386.74"/>
    <s v="April"/>
  </r>
  <r>
    <s v="S471"/>
    <x v="6"/>
    <x v="0"/>
    <x v="4"/>
    <s v="Grey"/>
    <x v="1"/>
    <x v="1"/>
    <n v="32.67"/>
    <n v="1"/>
    <n v="32.67"/>
    <s v="February"/>
  </r>
  <r>
    <s v="S472"/>
    <x v="146"/>
    <x v="5"/>
    <x v="1"/>
    <s v="Blue"/>
    <x v="6"/>
    <x v="2"/>
    <n v="243.37"/>
    <n v="11"/>
    <n v="2677.07"/>
    <s v="November"/>
  </r>
  <r>
    <s v="S473"/>
    <x v="275"/>
    <x v="3"/>
    <x v="5"/>
    <s v="Grey"/>
    <x v="0"/>
    <x v="1"/>
    <n v="39.5"/>
    <n v="18"/>
    <n v="711"/>
    <s v="February"/>
  </r>
  <r>
    <s v="S474"/>
    <x v="276"/>
    <x v="3"/>
    <x v="4"/>
    <s v="Blue"/>
    <x v="3"/>
    <x v="2"/>
    <n v="226.05"/>
    <n v="6"/>
    <n v="1356.3"/>
    <s v="July"/>
  </r>
  <r>
    <s v="S475"/>
    <x v="153"/>
    <x v="3"/>
    <x v="3"/>
    <s v="Blue"/>
    <x v="6"/>
    <x v="2"/>
    <n v="146.09"/>
    <n v="3"/>
    <n v="438.27"/>
    <s v="March"/>
  </r>
  <r>
    <s v="S476"/>
    <x v="147"/>
    <x v="4"/>
    <x v="4"/>
    <s v="White"/>
    <x v="2"/>
    <x v="1"/>
    <n v="248.45"/>
    <n v="3"/>
    <n v="745.35"/>
    <s v="September"/>
  </r>
  <r>
    <s v="S477"/>
    <x v="277"/>
    <x v="2"/>
    <x v="2"/>
    <s v="Red"/>
    <x v="1"/>
    <x v="0"/>
    <n v="46.24"/>
    <n v="20"/>
    <n v="924.8"/>
    <s v="September"/>
  </r>
  <r>
    <s v="S478"/>
    <x v="76"/>
    <x v="5"/>
    <x v="4"/>
    <s v="Grey"/>
    <x v="6"/>
    <x v="2"/>
    <n v="151.85"/>
    <n v="1"/>
    <n v="151.85"/>
    <s v="June"/>
  </r>
  <r>
    <s v="S479"/>
    <x v="89"/>
    <x v="5"/>
    <x v="0"/>
    <s v="Grey"/>
    <x v="0"/>
    <x v="2"/>
    <n v="243.25"/>
    <n v="11"/>
    <n v="2675.75"/>
    <s v="August"/>
  </r>
  <r>
    <s v="S480"/>
    <x v="77"/>
    <x v="1"/>
    <x v="2"/>
    <s v="Red"/>
    <x v="3"/>
    <x v="0"/>
    <n v="145.08000000000001"/>
    <n v="20"/>
    <n v="2901.6"/>
    <s v="June"/>
  </r>
  <r>
    <s v="S481"/>
    <x v="165"/>
    <x v="4"/>
    <x v="0"/>
    <s v="Green"/>
    <x v="2"/>
    <x v="2"/>
    <n v="168.47"/>
    <n v="11"/>
    <n v="1853.17"/>
    <s v="July"/>
  </r>
  <r>
    <s v="S482"/>
    <x v="260"/>
    <x v="4"/>
    <x v="3"/>
    <s v="Blue"/>
    <x v="4"/>
    <x v="2"/>
    <n v="183.06"/>
    <n v="8"/>
    <n v="1464.48"/>
    <s v="October"/>
  </r>
  <r>
    <s v="S483"/>
    <x v="213"/>
    <x v="2"/>
    <x v="2"/>
    <s v="Grey"/>
    <x v="5"/>
    <x v="0"/>
    <n v="130"/>
    <n v="4"/>
    <n v="520"/>
    <s v="July"/>
  </r>
  <r>
    <s v="S484"/>
    <x v="278"/>
    <x v="0"/>
    <x v="0"/>
    <s v="Red"/>
    <x v="2"/>
    <x v="0"/>
    <n v="168.06"/>
    <n v="18"/>
    <n v="3025.08"/>
    <s v="December"/>
  </r>
  <r>
    <s v="S485"/>
    <x v="279"/>
    <x v="1"/>
    <x v="1"/>
    <s v="Red"/>
    <x v="2"/>
    <x v="2"/>
    <n v="158.55000000000001"/>
    <n v="10"/>
    <n v="1585.5"/>
    <s v="August"/>
  </r>
  <r>
    <s v="S486"/>
    <x v="1"/>
    <x v="3"/>
    <x v="4"/>
    <s v="Green"/>
    <x v="0"/>
    <x v="1"/>
    <n v="228.25"/>
    <n v="10"/>
    <n v="2282.5"/>
    <s v="March"/>
  </r>
  <r>
    <s v="S487"/>
    <x v="2"/>
    <x v="0"/>
    <x v="3"/>
    <s v="Grey"/>
    <x v="6"/>
    <x v="1"/>
    <n v="40"/>
    <n v="13"/>
    <n v="520"/>
    <s v="August"/>
  </r>
  <r>
    <s v="S488"/>
    <x v="188"/>
    <x v="2"/>
    <x v="0"/>
    <s v="Red"/>
    <x v="5"/>
    <x v="0"/>
    <n v="91.81"/>
    <n v="18"/>
    <n v="1652.58"/>
    <s v="July"/>
  </r>
  <r>
    <s v="S489"/>
    <x v="280"/>
    <x v="2"/>
    <x v="0"/>
    <s v="Black"/>
    <x v="1"/>
    <x v="0"/>
    <n v="239.09"/>
    <n v="18"/>
    <n v="4303.62"/>
    <s v="July"/>
  </r>
  <r>
    <s v="S490"/>
    <x v="139"/>
    <x v="3"/>
    <x v="0"/>
    <s v="Grey"/>
    <x v="1"/>
    <x v="1"/>
    <n v="225.86"/>
    <n v="12"/>
    <n v="2710.32"/>
    <s v="December"/>
  </r>
  <r>
    <s v="S491"/>
    <x v="203"/>
    <x v="4"/>
    <x v="3"/>
    <s v="Black"/>
    <x v="1"/>
    <x v="0"/>
    <n v="130.24"/>
    <n v="13"/>
    <n v="1693.12"/>
    <s v="November"/>
  </r>
  <r>
    <s v="S492"/>
    <x v="113"/>
    <x v="2"/>
    <x v="0"/>
    <s v="Grey"/>
    <x v="5"/>
    <x v="1"/>
    <n v="166.43"/>
    <n v="8"/>
    <n v="1331.44"/>
    <s v="May"/>
  </r>
  <r>
    <s v="S493"/>
    <x v="83"/>
    <x v="3"/>
    <x v="3"/>
    <s v="Blue"/>
    <x v="6"/>
    <x v="2"/>
    <n v="91.02"/>
    <n v="19"/>
    <n v="1729.38"/>
    <s v="December"/>
  </r>
  <r>
    <s v="S494"/>
    <x v="67"/>
    <x v="1"/>
    <x v="5"/>
    <s v="White"/>
    <x v="3"/>
    <x v="0"/>
    <n v="71.39"/>
    <n v="19"/>
    <n v="1356.41"/>
    <s v="December"/>
  </r>
  <r>
    <s v="S495"/>
    <x v="147"/>
    <x v="4"/>
    <x v="3"/>
    <s v="Black"/>
    <x v="1"/>
    <x v="1"/>
    <n v="132.01"/>
    <n v="4"/>
    <n v="528.04"/>
    <s v="September"/>
  </r>
  <r>
    <s v="S496"/>
    <x v="281"/>
    <x v="4"/>
    <x v="4"/>
    <s v="Red"/>
    <x v="4"/>
    <x v="0"/>
    <n v="107.74"/>
    <n v="12"/>
    <n v="1292.8800000000001"/>
    <s v="March"/>
  </r>
  <r>
    <s v="S497"/>
    <x v="282"/>
    <x v="4"/>
    <x v="3"/>
    <s v="Black"/>
    <x v="6"/>
    <x v="1"/>
    <n v="158.4"/>
    <n v="16"/>
    <n v="2534.4"/>
    <s v="September"/>
  </r>
  <r>
    <s v="S498"/>
    <x v="82"/>
    <x v="4"/>
    <x v="1"/>
    <s v="Blue"/>
    <x v="1"/>
    <x v="1"/>
    <n v="47.1"/>
    <n v="15"/>
    <n v="706.5"/>
    <s v="December"/>
  </r>
  <r>
    <s v="S499"/>
    <x v="177"/>
    <x v="4"/>
    <x v="0"/>
    <s v="Black"/>
    <x v="2"/>
    <x v="0"/>
    <n v="244.37"/>
    <n v="1"/>
    <n v="244.37"/>
    <s v="February"/>
  </r>
  <r>
    <s v="S500"/>
    <x v="111"/>
    <x v="3"/>
    <x v="5"/>
    <s v="White"/>
    <x v="3"/>
    <x v="1"/>
    <n v="246.97"/>
    <n v="17"/>
    <n v="4198.49"/>
    <s v="May"/>
  </r>
  <r>
    <s v="S501"/>
    <x v="224"/>
    <x v="3"/>
    <x v="3"/>
    <s v="Green"/>
    <x v="0"/>
    <x v="0"/>
    <n v="183.6"/>
    <n v="15"/>
    <n v="2754"/>
    <s v="August"/>
  </r>
  <r>
    <s v="S502"/>
    <x v="0"/>
    <x v="5"/>
    <x v="1"/>
    <s v="Green"/>
    <x v="5"/>
    <x v="0"/>
    <n v="147.94"/>
    <n v="14"/>
    <n v="2071.16"/>
    <s v="November"/>
  </r>
  <r>
    <s v="S503"/>
    <x v="230"/>
    <x v="5"/>
    <x v="3"/>
    <s v="Black"/>
    <x v="2"/>
    <x v="0"/>
    <n v="98.1"/>
    <n v="19"/>
    <n v="1863.9"/>
    <s v="August"/>
  </r>
  <r>
    <s v="S504"/>
    <x v="256"/>
    <x v="1"/>
    <x v="1"/>
    <s v="Grey"/>
    <x v="1"/>
    <x v="1"/>
    <n v="209.03"/>
    <n v="9"/>
    <n v="1881.27"/>
    <s v="April"/>
  </r>
  <r>
    <s v="S505"/>
    <x v="46"/>
    <x v="4"/>
    <x v="2"/>
    <s v="Red"/>
    <x v="1"/>
    <x v="2"/>
    <n v="180.64"/>
    <n v="12"/>
    <n v="2167.6799999999998"/>
    <s v="April"/>
  </r>
  <r>
    <s v="S506"/>
    <x v="263"/>
    <x v="2"/>
    <x v="0"/>
    <s v="Blue"/>
    <x v="5"/>
    <x v="2"/>
    <n v="65.78"/>
    <n v="16"/>
    <n v="1052.48"/>
    <s v="December"/>
  </r>
  <r>
    <s v="S507"/>
    <x v="81"/>
    <x v="2"/>
    <x v="1"/>
    <s v="Blue"/>
    <x v="3"/>
    <x v="2"/>
    <n v="230.4"/>
    <n v="13"/>
    <n v="2995.2"/>
    <s v="November"/>
  </r>
  <r>
    <s v="S508"/>
    <x v="283"/>
    <x v="1"/>
    <x v="0"/>
    <s v="Blue"/>
    <x v="5"/>
    <x v="1"/>
    <n v="210.96"/>
    <n v="6"/>
    <n v="1265.76"/>
    <s v="November"/>
  </r>
  <r>
    <s v="S509"/>
    <x v="275"/>
    <x v="4"/>
    <x v="1"/>
    <s v="White"/>
    <x v="3"/>
    <x v="0"/>
    <n v="238.96"/>
    <n v="5"/>
    <n v="1194.8"/>
    <s v="February"/>
  </r>
  <r>
    <s v="S510"/>
    <x v="38"/>
    <x v="1"/>
    <x v="2"/>
    <s v="Grey"/>
    <x v="6"/>
    <x v="2"/>
    <n v="189.66"/>
    <n v="12"/>
    <n v="2275.92"/>
    <s v="April"/>
  </r>
  <r>
    <s v="S511"/>
    <x v="236"/>
    <x v="2"/>
    <x v="3"/>
    <s v="Red"/>
    <x v="0"/>
    <x v="2"/>
    <n v="164.95"/>
    <n v="5"/>
    <n v="824.75"/>
    <s v="November"/>
  </r>
  <r>
    <s v="S512"/>
    <x v="11"/>
    <x v="1"/>
    <x v="0"/>
    <s v="White"/>
    <x v="5"/>
    <x v="0"/>
    <n v="122.01"/>
    <n v="18"/>
    <n v="2196.1799999999998"/>
    <s v="November"/>
  </r>
  <r>
    <s v="S513"/>
    <x v="115"/>
    <x v="3"/>
    <x v="2"/>
    <s v="Blue"/>
    <x v="4"/>
    <x v="2"/>
    <n v="235.2"/>
    <n v="10"/>
    <n v="2352"/>
    <s v="September"/>
  </r>
  <r>
    <s v="S514"/>
    <x v="48"/>
    <x v="4"/>
    <x v="1"/>
    <s v="Red"/>
    <x v="0"/>
    <x v="0"/>
    <n v="220.53"/>
    <n v="2"/>
    <n v="441.06"/>
    <s v="November"/>
  </r>
  <r>
    <s v="S515"/>
    <x v="200"/>
    <x v="2"/>
    <x v="0"/>
    <s v="Red"/>
    <x v="6"/>
    <x v="1"/>
    <n v="39.950000000000003"/>
    <n v="18"/>
    <n v="719.1"/>
    <s v="July"/>
  </r>
  <r>
    <s v="S516"/>
    <x v="116"/>
    <x v="1"/>
    <x v="3"/>
    <s v="Red"/>
    <x v="0"/>
    <x v="0"/>
    <n v="35.799999999999997"/>
    <n v="14"/>
    <n v="501.2"/>
    <s v="September"/>
  </r>
  <r>
    <s v="S517"/>
    <x v="175"/>
    <x v="3"/>
    <x v="4"/>
    <s v="Black"/>
    <x v="3"/>
    <x v="0"/>
    <n v="112.82"/>
    <n v="1"/>
    <n v="112.82"/>
    <s v="October"/>
  </r>
  <r>
    <s v="S518"/>
    <x v="71"/>
    <x v="3"/>
    <x v="3"/>
    <s v="Grey"/>
    <x v="2"/>
    <x v="2"/>
    <n v="208.32"/>
    <n v="10"/>
    <n v="2083.1999999999998"/>
    <s v="October"/>
  </r>
  <r>
    <s v="S519"/>
    <x v="238"/>
    <x v="0"/>
    <x v="5"/>
    <s v="Black"/>
    <x v="3"/>
    <x v="1"/>
    <n v="247.2"/>
    <n v="17"/>
    <n v="4202.3999999999996"/>
    <s v="October"/>
  </r>
  <r>
    <s v="S520"/>
    <x v="237"/>
    <x v="0"/>
    <x v="0"/>
    <s v="Red"/>
    <x v="5"/>
    <x v="0"/>
    <n v="63.09"/>
    <n v="18"/>
    <n v="1135.6199999999999"/>
    <s v="July"/>
  </r>
  <r>
    <s v="S521"/>
    <x v="284"/>
    <x v="1"/>
    <x v="0"/>
    <s v="White"/>
    <x v="3"/>
    <x v="0"/>
    <n v="160.71"/>
    <n v="4"/>
    <n v="642.84"/>
    <s v="August"/>
  </r>
  <r>
    <s v="S522"/>
    <x v="230"/>
    <x v="4"/>
    <x v="1"/>
    <s v="Red"/>
    <x v="4"/>
    <x v="0"/>
    <n v="113.8"/>
    <n v="9"/>
    <n v="1024.2"/>
    <s v="August"/>
  </r>
  <r>
    <s v="S523"/>
    <x v="261"/>
    <x v="1"/>
    <x v="5"/>
    <s v="Green"/>
    <x v="3"/>
    <x v="1"/>
    <n v="243.38"/>
    <n v="7"/>
    <n v="1703.66"/>
    <s v="May"/>
  </r>
  <r>
    <s v="S524"/>
    <x v="81"/>
    <x v="3"/>
    <x v="5"/>
    <s v="White"/>
    <x v="4"/>
    <x v="0"/>
    <n v="215.27"/>
    <n v="14"/>
    <n v="3013.78"/>
    <s v="November"/>
  </r>
  <r>
    <s v="S525"/>
    <x v="256"/>
    <x v="2"/>
    <x v="4"/>
    <s v="Grey"/>
    <x v="3"/>
    <x v="1"/>
    <n v="214.43"/>
    <n v="2"/>
    <n v="428.86"/>
    <s v="April"/>
  </r>
  <r>
    <s v="S526"/>
    <x v="71"/>
    <x v="4"/>
    <x v="0"/>
    <s v="Blue"/>
    <x v="3"/>
    <x v="1"/>
    <n v="133.11000000000001"/>
    <n v="6"/>
    <n v="798.66"/>
    <s v="October"/>
  </r>
  <r>
    <s v="S527"/>
    <x v="12"/>
    <x v="1"/>
    <x v="1"/>
    <s v="White"/>
    <x v="4"/>
    <x v="2"/>
    <n v="121.26"/>
    <n v="17"/>
    <n v="2061.42"/>
    <s v="May"/>
  </r>
  <r>
    <s v="S528"/>
    <x v="41"/>
    <x v="1"/>
    <x v="2"/>
    <s v="Green"/>
    <x v="4"/>
    <x v="0"/>
    <n v="90.15"/>
    <n v="9"/>
    <n v="811.35"/>
    <s v="January"/>
  </r>
  <r>
    <s v="S529"/>
    <x v="37"/>
    <x v="1"/>
    <x v="4"/>
    <s v="White"/>
    <x v="4"/>
    <x v="1"/>
    <n v="42.4"/>
    <n v="5"/>
    <n v="212"/>
    <s v="May"/>
  </r>
  <r>
    <s v="S530"/>
    <x v="285"/>
    <x v="3"/>
    <x v="5"/>
    <s v="Green"/>
    <x v="3"/>
    <x v="1"/>
    <n v="220.24"/>
    <n v="16"/>
    <n v="3523.84"/>
    <s v="July"/>
  </r>
  <r>
    <s v="S531"/>
    <x v="172"/>
    <x v="5"/>
    <x v="1"/>
    <s v="Green"/>
    <x v="4"/>
    <x v="0"/>
    <n v="208.84"/>
    <n v="13"/>
    <n v="2714.92"/>
    <s v="August"/>
  </r>
  <r>
    <s v="S532"/>
    <x v="47"/>
    <x v="1"/>
    <x v="4"/>
    <s v="Green"/>
    <x v="3"/>
    <x v="2"/>
    <n v="249.94"/>
    <n v="17"/>
    <n v="4248.9799999999996"/>
    <s v="July"/>
  </r>
  <r>
    <s v="S533"/>
    <x v="43"/>
    <x v="2"/>
    <x v="1"/>
    <s v="Green"/>
    <x v="1"/>
    <x v="1"/>
    <n v="249.26"/>
    <n v="11"/>
    <n v="2741.86"/>
    <s v="September"/>
  </r>
  <r>
    <s v="S534"/>
    <x v="286"/>
    <x v="0"/>
    <x v="5"/>
    <s v="Red"/>
    <x v="0"/>
    <x v="2"/>
    <n v="152.19"/>
    <n v="12"/>
    <n v="1826.28"/>
    <s v="August"/>
  </r>
  <r>
    <s v="S535"/>
    <x v="99"/>
    <x v="4"/>
    <x v="4"/>
    <s v="Blue"/>
    <x v="3"/>
    <x v="1"/>
    <n v="199.18"/>
    <n v="16"/>
    <n v="3186.88"/>
    <s v="April"/>
  </r>
  <r>
    <s v="S536"/>
    <x v="9"/>
    <x v="2"/>
    <x v="3"/>
    <s v="Blue"/>
    <x v="2"/>
    <x v="0"/>
    <n v="237.85"/>
    <n v="5"/>
    <n v="1189.25"/>
    <s v="October"/>
  </r>
  <r>
    <s v="S537"/>
    <x v="152"/>
    <x v="1"/>
    <x v="3"/>
    <s v="Black"/>
    <x v="1"/>
    <x v="0"/>
    <n v="216.92"/>
    <n v="4"/>
    <n v="867.68"/>
    <s v="January"/>
  </r>
  <r>
    <s v="S538"/>
    <x v="89"/>
    <x v="0"/>
    <x v="3"/>
    <s v="White"/>
    <x v="2"/>
    <x v="0"/>
    <n v="84.42"/>
    <n v="15"/>
    <n v="1266.3"/>
    <s v="August"/>
  </r>
  <r>
    <s v="S539"/>
    <x v="265"/>
    <x v="3"/>
    <x v="4"/>
    <s v="Black"/>
    <x v="2"/>
    <x v="2"/>
    <n v="129.12"/>
    <n v="10"/>
    <n v="1291.2"/>
    <s v="November"/>
  </r>
  <r>
    <s v="S540"/>
    <x v="56"/>
    <x v="4"/>
    <x v="0"/>
    <s v="Green"/>
    <x v="0"/>
    <x v="0"/>
    <n v="58.42"/>
    <n v="3"/>
    <n v="175.26"/>
    <s v="May"/>
  </r>
  <r>
    <s v="S541"/>
    <x v="159"/>
    <x v="1"/>
    <x v="0"/>
    <s v="White"/>
    <x v="6"/>
    <x v="1"/>
    <n v="239.89"/>
    <n v="10"/>
    <n v="2398.9"/>
    <s v="July"/>
  </r>
  <r>
    <s v="S542"/>
    <x v="161"/>
    <x v="0"/>
    <x v="2"/>
    <s v="Red"/>
    <x v="1"/>
    <x v="0"/>
    <n v="163.36000000000001"/>
    <n v="4"/>
    <n v="653.44000000000005"/>
    <s v="February"/>
  </r>
  <r>
    <s v="S543"/>
    <x v="97"/>
    <x v="2"/>
    <x v="0"/>
    <s v="Red"/>
    <x v="1"/>
    <x v="0"/>
    <n v="80.3"/>
    <n v="8"/>
    <n v="642.4"/>
    <s v="October"/>
  </r>
  <r>
    <s v="S544"/>
    <x v="82"/>
    <x v="0"/>
    <x v="3"/>
    <s v="Green"/>
    <x v="0"/>
    <x v="2"/>
    <n v="177.77"/>
    <n v="11"/>
    <n v="1955.47"/>
    <s v="December"/>
  </r>
  <r>
    <s v="S545"/>
    <x v="287"/>
    <x v="5"/>
    <x v="1"/>
    <s v="Green"/>
    <x v="4"/>
    <x v="0"/>
    <n v="165.99"/>
    <n v="8"/>
    <n v="1327.92"/>
    <s v="February"/>
  </r>
  <r>
    <s v="S546"/>
    <x v="6"/>
    <x v="4"/>
    <x v="4"/>
    <s v="White"/>
    <x v="6"/>
    <x v="0"/>
    <n v="108.8"/>
    <n v="11"/>
    <n v="1196.8"/>
    <s v="February"/>
  </r>
  <r>
    <s v="S547"/>
    <x v="174"/>
    <x v="0"/>
    <x v="5"/>
    <s v="Grey"/>
    <x v="1"/>
    <x v="1"/>
    <n v="54.98"/>
    <n v="5"/>
    <n v="274.89999999999998"/>
    <s v="November"/>
  </r>
  <r>
    <s v="S548"/>
    <x v="265"/>
    <x v="5"/>
    <x v="4"/>
    <s v="Green"/>
    <x v="0"/>
    <x v="1"/>
    <n v="177.75"/>
    <n v="6"/>
    <n v="1066.5"/>
    <s v="November"/>
  </r>
  <r>
    <s v="S549"/>
    <x v="243"/>
    <x v="2"/>
    <x v="0"/>
    <s v="Red"/>
    <x v="4"/>
    <x v="0"/>
    <n v="144.47"/>
    <n v="14"/>
    <n v="2022.58"/>
    <s v="March"/>
  </r>
  <r>
    <s v="S550"/>
    <x v="288"/>
    <x v="3"/>
    <x v="1"/>
    <s v="Grey"/>
    <x v="2"/>
    <x v="2"/>
    <n v="199.91"/>
    <n v="4"/>
    <n v="799.64"/>
    <s v="February"/>
  </r>
  <r>
    <s v="S551"/>
    <x v="101"/>
    <x v="4"/>
    <x v="2"/>
    <s v="White"/>
    <x v="3"/>
    <x v="1"/>
    <n v="144.44"/>
    <n v="14"/>
    <n v="2022.16"/>
    <s v="June"/>
  </r>
  <r>
    <s v="S552"/>
    <x v="275"/>
    <x v="2"/>
    <x v="5"/>
    <s v="Grey"/>
    <x v="2"/>
    <x v="1"/>
    <n v="217.48"/>
    <n v="8"/>
    <n v="1739.84"/>
    <s v="February"/>
  </r>
  <r>
    <s v="S553"/>
    <x v="289"/>
    <x v="1"/>
    <x v="4"/>
    <s v="White"/>
    <x v="5"/>
    <x v="1"/>
    <n v="151.41999999999999"/>
    <n v="1"/>
    <n v="151.41999999999999"/>
    <s v="May"/>
  </r>
  <r>
    <s v="S554"/>
    <x v="290"/>
    <x v="1"/>
    <x v="3"/>
    <s v="Blue"/>
    <x v="2"/>
    <x v="0"/>
    <n v="153.41"/>
    <n v="7"/>
    <n v="1073.8699999999999"/>
    <s v="September"/>
  </r>
  <r>
    <s v="S555"/>
    <x v="219"/>
    <x v="5"/>
    <x v="1"/>
    <s v="White"/>
    <x v="6"/>
    <x v="1"/>
    <n v="222.86"/>
    <n v="16"/>
    <n v="3565.76"/>
    <s v="May"/>
  </r>
  <r>
    <s v="S556"/>
    <x v="133"/>
    <x v="2"/>
    <x v="1"/>
    <s v="Blue"/>
    <x v="3"/>
    <x v="0"/>
    <n v="118.77"/>
    <n v="3"/>
    <n v="356.31"/>
    <s v="November"/>
  </r>
  <r>
    <s v="S557"/>
    <x v="205"/>
    <x v="5"/>
    <x v="4"/>
    <s v="Grey"/>
    <x v="2"/>
    <x v="0"/>
    <n v="59.48"/>
    <n v="19"/>
    <n v="1130.1199999999999"/>
    <s v="July"/>
  </r>
  <r>
    <s v="S558"/>
    <x v="145"/>
    <x v="0"/>
    <x v="5"/>
    <s v="Black"/>
    <x v="1"/>
    <x v="2"/>
    <n v="36.33"/>
    <n v="3"/>
    <n v="108.99"/>
    <s v="August"/>
  </r>
  <r>
    <s v="S559"/>
    <x v="235"/>
    <x v="0"/>
    <x v="3"/>
    <s v="Grey"/>
    <x v="3"/>
    <x v="1"/>
    <n v="196.13"/>
    <n v="2"/>
    <n v="392.26"/>
    <s v="April"/>
  </r>
  <r>
    <s v="S560"/>
    <x v="229"/>
    <x v="5"/>
    <x v="3"/>
    <s v="Green"/>
    <x v="6"/>
    <x v="0"/>
    <n v="166.47"/>
    <n v="17"/>
    <n v="2829.99"/>
    <s v="December"/>
  </r>
  <r>
    <s v="S561"/>
    <x v="0"/>
    <x v="2"/>
    <x v="5"/>
    <s v="White"/>
    <x v="3"/>
    <x v="0"/>
    <n v="184.9"/>
    <n v="18"/>
    <n v="3328.2"/>
    <s v="November"/>
  </r>
  <r>
    <s v="S562"/>
    <x v="73"/>
    <x v="2"/>
    <x v="2"/>
    <s v="White"/>
    <x v="5"/>
    <x v="2"/>
    <n v="76.849999999999994"/>
    <n v="3"/>
    <n v="230.55"/>
    <s v="June"/>
  </r>
  <r>
    <s v="S563"/>
    <x v="291"/>
    <x v="1"/>
    <x v="0"/>
    <s v="Green"/>
    <x v="2"/>
    <x v="0"/>
    <n v="60"/>
    <n v="19"/>
    <n v="1140"/>
    <s v="July"/>
  </r>
  <r>
    <s v="S564"/>
    <x v="73"/>
    <x v="1"/>
    <x v="2"/>
    <s v="Black"/>
    <x v="0"/>
    <x v="0"/>
    <n v="33.200000000000003"/>
    <n v="14"/>
    <n v="464.8"/>
    <s v="June"/>
  </r>
  <r>
    <s v="S565"/>
    <x v="292"/>
    <x v="5"/>
    <x v="5"/>
    <s v="Grey"/>
    <x v="1"/>
    <x v="2"/>
    <n v="107.13"/>
    <n v="4"/>
    <n v="428.52"/>
    <s v="August"/>
  </r>
  <r>
    <s v="S566"/>
    <x v="192"/>
    <x v="0"/>
    <x v="1"/>
    <s v="Green"/>
    <x v="0"/>
    <x v="1"/>
    <n v="159.78"/>
    <n v="6"/>
    <n v="958.68"/>
    <s v="December"/>
  </r>
  <r>
    <s v="S567"/>
    <x v="114"/>
    <x v="5"/>
    <x v="4"/>
    <s v="Grey"/>
    <x v="5"/>
    <x v="1"/>
    <n v="116.29"/>
    <n v="6"/>
    <n v="697.74"/>
    <s v="January"/>
  </r>
  <r>
    <s v="S568"/>
    <x v="113"/>
    <x v="4"/>
    <x v="2"/>
    <s v="Green"/>
    <x v="4"/>
    <x v="2"/>
    <n v="126.24"/>
    <n v="6"/>
    <n v="757.44"/>
    <s v="May"/>
  </r>
  <r>
    <s v="S569"/>
    <x v="293"/>
    <x v="4"/>
    <x v="3"/>
    <s v="Blue"/>
    <x v="5"/>
    <x v="0"/>
    <n v="228.91"/>
    <n v="1"/>
    <n v="228.91"/>
    <s v="March"/>
  </r>
  <r>
    <s v="S570"/>
    <x v="17"/>
    <x v="1"/>
    <x v="1"/>
    <s v="Red"/>
    <x v="6"/>
    <x v="1"/>
    <n v="106.62"/>
    <n v="19"/>
    <n v="2025.78"/>
    <s v="May"/>
  </r>
  <r>
    <s v="S571"/>
    <x v="280"/>
    <x v="5"/>
    <x v="5"/>
    <s v="White"/>
    <x v="3"/>
    <x v="0"/>
    <n v="143.08000000000001"/>
    <n v="2"/>
    <n v="286.16000000000003"/>
    <s v="July"/>
  </r>
  <r>
    <s v="S572"/>
    <x v="156"/>
    <x v="2"/>
    <x v="0"/>
    <s v="Green"/>
    <x v="1"/>
    <x v="0"/>
    <n v="202.4"/>
    <n v="4"/>
    <n v="809.6"/>
    <s v="May"/>
  </r>
  <r>
    <s v="S573"/>
    <x v="290"/>
    <x v="0"/>
    <x v="1"/>
    <s v="White"/>
    <x v="1"/>
    <x v="2"/>
    <n v="117.24"/>
    <n v="1"/>
    <n v="117.24"/>
    <s v="September"/>
  </r>
  <r>
    <s v="S574"/>
    <x v="213"/>
    <x v="3"/>
    <x v="2"/>
    <s v="Black"/>
    <x v="5"/>
    <x v="1"/>
    <n v="166.86"/>
    <n v="13"/>
    <n v="2169.1799999999998"/>
    <s v="July"/>
  </r>
  <r>
    <s v="S575"/>
    <x v="208"/>
    <x v="3"/>
    <x v="4"/>
    <s v="White"/>
    <x v="6"/>
    <x v="1"/>
    <n v="219.72"/>
    <n v="14"/>
    <n v="3076.08"/>
    <s v="December"/>
  </r>
  <r>
    <s v="S576"/>
    <x v="90"/>
    <x v="0"/>
    <x v="5"/>
    <s v="Blue"/>
    <x v="1"/>
    <x v="1"/>
    <n v="238.89"/>
    <n v="9"/>
    <n v="2150.0100000000002"/>
    <s v="June"/>
  </r>
  <r>
    <s v="S577"/>
    <x v="264"/>
    <x v="3"/>
    <x v="2"/>
    <s v="Grey"/>
    <x v="1"/>
    <x v="2"/>
    <n v="62.36"/>
    <n v="2"/>
    <n v="124.72"/>
    <s v="December"/>
  </r>
  <r>
    <s v="S578"/>
    <x v="51"/>
    <x v="4"/>
    <x v="4"/>
    <s v="Blue"/>
    <x v="1"/>
    <x v="1"/>
    <n v="233.85"/>
    <n v="15"/>
    <n v="3507.75"/>
    <s v="February"/>
  </r>
  <r>
    <s v="S579"/>
    <x v="85"/>
    <x v="4"/>
    <x v="2"/>
    <s v="Blue"/>
    <x v="5"/>
    <x v="2"/>
    <n v="138.27000000000001"/>
    <n v="1"/>
    <n v="138.27000000000001"/>
    <s v="August"/>
  </r>
  <r>
    <s v="S580"/>
    <x v="294"/>
    <x v="5"/>
    <x v="4"/>
    <s v="Grey"/>
    <x v="6"/>
    <x v="0"/>
    <n v="86.81"/>
    <n v="8"/>
    <n v="694.48"/>
    <s v="November"/>
  </r>
  <r>
    <s v="S581"/>
    <x v="4"/>
    <x v="3"/>
    <x v="1"/>
    <s v="Red"/>
    <x v="1"/>
    <x v="0"/>
    <n v="131.01"/>
    <n v="8"/>
    <n v="1048.08"/>
    <s v="October"/>
  </r>
  <r>
    <s v="S582"/>
    <x v="44"/>
    <x v="1"/>
    <x v="0"/>
    <s v="Black"/>
    <x v="3"/>
    <x v="0"/>
    <n v="245.61"/>
    <n v="12"/>
    <n v="2947.32"/>
    <s v="October"/>
  </r>
  <r>
    <s v="S583"/>
    <x v="139"/>
    <x v="1"/>
    <x v="0"/>
    <s v="Blue"/>
    <x v="1"/>
    <x v="0"/>
    <n v="138.38"/>
    <n v="13"/>
    <n v="1798.94"/>
    <s v="December"/>
  </r>
  <r>
    <s v="S584"/>
    <x v="189"/>
    <x v="5"/>
    <x v="3"/>
    <s v="Black"/>
    <x v="0"/>
    <x v="1"/>
    <n v="102.33"/>
    <n v="8"/>
    <n v="818.64"/>
    <s v="September"/>
  </r>
  <r>
    <s v="S585"/>
    <x v="270"/>
    <x v="0"/>
    <x v="2"/>
    <s v="Grey"/>
    <x v="6"/>
    <x v="1"/>
    <n v="169.35"/>
    <n v="3"/>
    <n v="508.05"/>
    <s v="May"/>
  </r>
  <r>
    <s v="S586"/>
    <x v="295"/>
    <x v="1"/>
    <x v="1"/>
    <s v="Grey"/>
    <x v="1"/>
    <x v="1"/>
    <n v="82.83"/>
    <n v="15"/>
    <n v="1242.45"/>
    <s v="July"/>
  </r>
  <r>
    <s v="S587"/>
    <x v="296"/>
    <x v="0"/>
    <x v="5"/>
    <s v="Grey"/>
    <x v="1"/>
    <x v="2"/>
    <n v="46.69"/>
    <n v="13"/>
    <n v="606.97"/>
    <s v="March"/>
  </r>
  <r>
    <s v="S588"/>
    <x v="297"/>
    <x v="3"/>
    <x v="4"/>
    <s v="Blue"/>
    <x v="4"/>
    <x v="2"/>
    <n v="58.35"/>
    <n v="5"/>
    <n v="291.75"/>
    <s v="December"/>
  </r>
  <r>
    <s v="S589"/>
    <x v="285"/>
    <x v="4"/>
    <x v="3"/>
    <s v="Blue"/>
    <x v="0"/>
    <x v="0"/>
    <n v="58.17"/>
    <n v="11"/>
    <n v="639.87"/>
    <s v="July"/>
  </r>
  <r>
    <s v="S590"/>
    <x v="298"/>
    <x v="2"/>
    <x v="1"/>
    <s v="White"/>
    <x v="1"/>
    <x v="0"/>
    <n v="63.42"/>
    <n v="5"/>
    <n v="317.10000000000002"/>
    <s v="April"/>
  </r>
  <r>
    <s v="S591"/>
    <x v="230"/>
    <x v="4"/>
    <x v="3"/>
    <s v="Black"/>
    <x v="5"/>
    <x v="2"/>
    <n v="60.54"/>
    <n v="15"/>
    <n v="908.1"/>
    <s v="August"/>
  </r>
  <r>
    <s v="S592"/>
    <x v="299"/>
    <x v="4"/>
    <x v="3"/>
    <s v="Blue"/>
    <x v="4"/>
    <x v="0"/>
    <n v="170.99"/>
    <n v="15"/>
    <n v="2564.85"/>
    <s v="April"/>
  </r>
  <r>
    <s v="S593"/>
    <x v="161"/>
    <x v="1"/>
    <x v="4"/>
    <s v="Green"/>
    <x v="2"/>
    <x v="1"/>
    <n v="70.010000000000005"/>
    <n v="6"/>
    <n v="420.06"/>
    <s v="February"/>
  </r>
  <r>
    <s v="S594"/>
    <x v="300"/>
    <x v="4"/>
    <x v="2"/>
    <s v="Black"/>
    <x v="2"/>
    <x v="0"/>
    <n v="106.05"/>
    <n v="7"/>
    <n v="742.35"/>
    <s v="January"/>
  </r>
  <r>
    <s v="S595"/>
    <x v="273"/>
    <x v="2"/>
    <x v="1"/>
    <s v="Green"/>
    <x v="3"/>
    <x v="2"/>
    <n v="227.29"/>
    <n v="13"/>
    <n v="2954.77"/>
    <s v="July"/>
  </r>
  <r>
    <s v="S596"/>
    <x v="75"/>
    <x v="5"/>
    <x v="3"/>
    <s v="Grey"/>
    <x v="2"/>
    <x v="1"/>
    <n v="134.27000000000001"/>
    <n v="1"/>
    <n v="134.27000000000001"/>
    <s v="March"/>
  </r>
  <r>
    <s v="S597"/>
    <x v="37"/>
    <x v="5"/>
    <x v="1"/>
    <s v="White"/>
    <x v="1"/>
    <x v="0"/>
    <n v="176.86"/>
    <n v="4"/>
    <n v="707.44"/>
    <s v="May"/>
  </r>
  <r>
    <s v="S598"/>
    <x v="202"/>
    <x v="3"/>
    <x v="2"/>
    <s v="Red"/>
    <x v="3"/>
    <x v="1"/>
    <n v="67.91"/>
    <n v="8"/>
    <n v="543.28"/>
    <s v="February"/>
  </r>
  <r>
    <s v="S599"/>
    <x v="301"/>
    <x v="2"/>
    <x v="5"/>
    <s v="Blue"/>
    <x v="4"/>
    <x v="0"/>
    <n v="72.3"/>
    <n v="3"/>
    <n v="216.9"/>
    <s v="November"/>
  </r>
  <r>
    <s v="S600"/>
    <x v="302"/>
    <x v="3"/>
    <x v="0"/>
    <s v="Red"/>
    <x v="4"/>
    <x v="0"/>
    <n v="38.99"/>
    <n v="3"/>
    <n v="116.97"/>
    <s v="January"/>
  </r>
  <r>
    <s v="S601"/>
    <x v="143"/>
    <x v="0"/>
    <x v="1"/>
    <s v="Red"/>
    <x v="1"/>
    <x v="0"/>
    <n v="67.17"/>
    <n v="11"/>
    <n v="738.87"/>
    <s v="February"/>
  </r>
  <r>
    <s v="S602"/>
    <x v="125"/>
    <x v="1"/>
    <x v="3"/>
    <s v="Red"/>
    <x v="1"/>
    <x v="2"/>
    <n v="91.29"/>
    <n v="14"/>
    <n v="1278.06"/>
    <s v="October"/>
  </r>
  <r>
    <s v="S603"/>
    <x v="278"/>
    <x v="3"/>
    <x v="4"/>
    <s v="White"/>
    <x v="0"/>
    <x v="2"/>
    <n v="68.94"/>
    <n v="14"/>
    <n v="965.16"/>
    <s v="December"/>
  </r>
  <r>
    <s v="S604"/>
    <x v="270"/>
    <x v="3"/>
    <x v="1"/>
    <s v="Grey"/>
    <x v="5"/>
    <x v="1"/>
    <n v="49.51"/>
    <n v="15"/>
    <n v="742.65"/>
    <s v="May"/>
  </r>
  <r>
    <s v="S605"/>
    <x v="13"/>
    <x v="5"/>
    <x v="3"/>
    <s v="Grey"/>
    <x v="6"/>
    <x v="0"/>
    <n v="56.54"/>
    <n v="10"/>
    <n v="565.4"/>
    <s v="May"/>
  </r>
  <r>
    <s v="S606"/>
    <x v="288"/>
    <x v="5"/>
    <x v="2"/>
    <s v="Red"/>
    <x v="0"/>
    <x v="1"/>
    <n v="131.37"/>
    <n v="9"/>
    <n v="1182.33"/>
    <s v="February"/>
  </r>
  <r>
    <s v="S607"/>
    <x v="255"/>
    <x v="1"/>
    <x v="5"/>
    <s v="Black"/>
    <x v="6"/>
    <x v="1"/>
    <n v="75.39"/>
    <n v="8"/>
    <n v="603.12"/>
    <s v="September"/>
  </r>
  <r>
    <s v="S608"/>
    <x v="61"/>
    <x v="2"/>
    <x v="3"/>
    <s v="Blue"/>
    <x v="5"/>
    <x v="1"/>
    <n v="110.14"/>
    <n v="16"/>
    <n v="1762.24"/>
    <s v="July"/>
  </r>
  <r>
    <s v="S609"/>
    <x v="77"/>
    <x v="4"/>
    <x v="2"/>
    <s v="Black"/>
    <x v="3"/>
    <x v="1"/>
    <n v="140.75"/>
    <n v="13"/>
    <n v="1829.75"/>
    <s v="June"/>
  </r>
  <r>
    <s v="S610"/>
    <x v="32"/>
    <x v="4"/>
    <x v="1"/>
    <s v="Red"/>
    <x v="5"/>
    <x v="2"/>
    <n v="181.89"/>
    <n v="1"/>
    <n v="181.89"/>
    <s v="April"/>
  </r>
  <r>
    <s v="S611"/>
    <x v="303"/>
    <x v="3"/>
    <x v="1"/>
    <s v="White"/>
    <x v="2"/>
    <x v="0"/>
    <n v="38.65"/>
    <n v="8"/>
    <n v="309.2"/>
    <s v="October"/>
  </r>
  <r>
    <s v="S612"/>
    <x v="12"/>
    <x v="1"/>
    <x v="1"/>
    <s v="White"/>
    <x v="5"/>
    <x v="2"/>
    <n v="205.87"/>
    <n v="18"/>
    <n v="3705.66"/>
    <s v="May"/>
  </r>
  <r>
    <s v="S613"/>
    <x v="304"/>
    <x v="3"/>
    <x v="2"/>
    <s v="Grey"/>
    <x v="3"/>
    <x v="1"/>
    <n v="168.14"/>
    <n v="6"/>
    <n v="1008.84"/>
    <s v="July"/>
  </r>
  <r>
    <s v="S614"/>
    <x v="124"/>
    <x v="2"/>
    <x v="1"/>
    <s v="Green"/>
    <x v="2"/>
    <x v="2"/>
    <n v="47.99"/>
    <n v="12"/>
    <n v="575.88"/>
    <s v="December"/>
  </r>
  <r>
    <s v="S615"/>
    <x v="305"/>
    <x v="3"/>
    <x v="5"/>
    <s v="White"/>
    <x v="4"/>
    <x v="2"/>
    <n v="222.19"/>
    <n v="19"/>
    <n v="4221.6099999999997"/>
    <s v="October"/>
  </r>
  <r>
    <s v="S616"/>
    <x v="44"/>
    <x v="3"/>
    <x v="3"/>
    <s v="Black"/>
    <x v="1"/>
    <x v="0"/>
    <n v="232.59"/>
    <n v="10"/>
    <n v="2325.9"/>
    <s v="October"/>
  </r>
  <r>
    <s v="S617"/>
    <x v="167"/>
    <x v="3"/>
    <x v="1"/>
    <s v="Grey"/>
    <x v="6"/>
    <x v="0"/>
    <n v="43.44"/>
    <n v="20"/>
    <n v="868.8"/>
    <s v="April"/>
  </r>
  <r>
    <s v="S618"/>
    <x v="92"/>
    <x v="3"/>
    <x v="2"/>
    <s v="Blue"/>
    <x v="2"/>
    <x v="0"/>
    <n v="90.91"/>
    <n v="20"/>
    <n v="1818.2"/>
    <s v="June"/>
  </r>
  <r>
    <s v="S619"/>
    <x v="198"/>
    <x v="0"/>
    <x v="2"/>
    <s v="Grey"/>
    <x v="2"/>
    <x v="0"/>
    <n v="207.36"/>
    <n v="2"/>
    <n v="414.72"/>
    <s v="June"/>
  </r>
  <r>
    <s v="S620"/>
    <x v="191"/>
    <x v="4"/>
    <x v="1"/>
    <s v="Blue"/>
    <x v="2"/>
    <x v="1"/>
    <n v="194.62"/>
    <n v="17"/>
    <n v="3308.54"/>
    <s v="February"/>
  </r>
  <r>
    <s v="S621"/>
    <x v="159"/>
    <x v="0"/>
    <x v="4"/>
    <s v="Blue"/>
    <x v="3"/>
    <x v="0"/>
    <n v="70.59"/>
    <n v="19"/>
    <n v="1341.21"/>
    <s v="July"/>
  </r>
  <r>
    <s v="S622"/>
    <x v="129"/>
    <x v="1"/>
    <x v="3"/>
    <s v="Green"/>
    <x v="3"/>
    <x v="0"/>
    <n v="76.06"/>
    <n v="14"/>
    <n v="1064.8399999999999"/>
    <s v="March"/>
  </r>
  <r>
    <s v="S623"/>
    <x v="109"/>
    <x v="1"/>
    <x v="5"/>
    <s v="Blue"/>
    <x v="0"/>
    <x v="1"/>
    <n v="111.5"/>
    <n v="18"/>
    <n v="2007"/>
    <s v="December"/>
  </r>
  <r>
    <s v="S624"/>
    <x v="121"/>
    <x v="5"/>
    <x v="4"/>
    <s v="Green"/>
    <x v="2"/>
    <x v="2"/>
    <n v="136.6"/>
    <n v="6"/>
    <n v="819.6"/>
    <s v="October"/>
  </r>
  <r>
    <s v="S625"/>
    <x v="74"/>
    <x v="1"/>
    <x v="1"/>
    <s v="Green"/>
    <x v="5"/>
    <x v="2"/>
    <n v="166.02"/>
    <n v="6"/>
    <n v="996.12"/>
    <s v="March"/>
  </r>
  <r>
    <s v="S626"/>
    <x v="305"/>
    <x v="3"/>
    <x v="5"/>
    <s v="Blue"/>
    <x v="4"/>
    <x v="1"/>
    <n v="111.16"/>
    <n v="2"/>
    <n v="222.32"/>
    <s v="October"/>
  </r>
  <r>
    <s v="S627"/>
    <x v="168"/>
    <x v="0"/>
    <x v="3"/>
    <s v="White"/>
    <x v="3"/>
    <x v="1"/>
    <n v="131.76"/>
    <n v="19"/>
    <n v="2503.44"/>
    <s v="April"/>
  </r>
  <r>
    <s v="S628"/>
    <x v="195"/>
    <x v="4"/>
    <x v="4"/>
    <s v="White"/>
    <x v="2"/>
    <x v="0"/>
    <n v="194.44"/>
    <n v="8"/>
    <n v="1555.52"/>
    <s v="February"/>
  </r>
  <r>
    <s v="S629"/>
    <x v="109"/>
    <x v="5"/>
    <x v="1"/>
    <s v="Blue"/>
    <x v="0"/>
    <x v="0"/>
    <n v="38.07"/>
    <n v="11"/>
    <n v="418.77"/>
    <s v="December"/>
  </r>
  <r>
    <s v="S630"/>
    <x v="117"/>
    <x v="4"/>
    <x v="4"/>
    <s v="Black"/>
    <x v="2"/>
    <x v="0"/>
    <n v="85.54"/>
    <n v="3"/>
    <n v="256.62"/>
    <s v="December"/>
  </r>
  <r>
    <s v="S631"/>
    <x v="222"/>
    <x v="5"/>
    <x v="0"/>
    <s v="Red"/>
    <x v="0"/>
    <x v="2"/>
    <n v="186.94"/>
    <n v="13"/>
    <n v="2430.2199999999998"/>
    <s v="January"/>
  </r>
  <r>
    <s v="S632"/>
    <x v="249"/>
    <x v="4"/>
    <x v="5"/>
    <s v="Red"/>
    <x v="1"/>
    <x v="2"/>
    <n v="226.95"/>
    <n v="13"/>
    <n v="2950.35"/>
    <s v="September"/>
  </r>
  <r>
    <s v="S633"/>
    <x v="9"/>
    <x v="3"/>
    <x v="3"/>
    <s v="Black"/>
    <x v="4"/>
    <x v="0"/>
    <n v="142.57"/>
    <n v="8"/>
    <n v="1140.56"/>
    <s v="October"/>
  </r>
  <r>
    <s v="S634"/>
    <x v="306"/>
    <x v="4"/>
    <x v="4"/>
    <s v="Black"/>
    <x v="1"/>
    <x v="2"/>
    <n v="147.06"/>
    <n v="1"/>
    <n v="147.06"/>
    <s v="May"/>
  </r>
  <r>
    <s v="S635"/>
    <x v="154"/>
    <x v="3"/>
    <x v="0"/>
    <s v="Black"/>
    <x v="5"/>
    <x v="0"/>
    <n v="53.58"/>
    <n v="13"/>
    <n v="696.54"/>
    <s v="March"/>
  </r>
  <r>
    <s v="S636"/>
    <x v="150"/>
    <x v="2"/>
    <x v="3"/>
    <s v="Green"/>
    <x v="1"/>
    <x v="2"/>
    <n v="128.43"/>
    <n v="20"/>
    <n v="2568.6"/>
    <s v="June"/>
  </r>
  <r>
    <s v="S637"/>
    <x v="307"/>
    <x v="2"/>
    <x v="3"/>
    <s v="White"/>
    <x v="1"/>
    <x v="0"/>
    <n v="147.18"/>
    <n v="6"/>
    <n v="883.08"/>
    <s v="December"/>
  </r>
  <r>
    <s v="S638"/>
    <x v="92"/>
    <x v="3"/>
    <x v="3"/>
    <s v="Green"/>
    <x v="5"/>
    <x v="1"/>
    <n v="83.34"/>
    <n v="7"/>
    <n v="583.38"/>
    <s v="June"/>
  </r>
  <r>
    <s v="S639"/>
    <x v="24"/>
    <x v="1"/>
    <x v="4"/>
    <s v="Blue"/>
    <x v="0"/>
    <x v="0"/>
    <n v="89.23"/>
    <n v="9"/>
    <n v="803.07"/>
    <s v="October"/>
  </r>
  <r>
    <s v="S640"/>
    <x v="160"/>
    <x v="2"/>
    <x v="5"/>
    <s v="Red"/>
    <x v="0"/>
    <x v="0"/>
    <n v="113"/>
    <n v="13"/>
    <n v="1469"/>
    <s v="January"/>
  </r>
  <r>
    <s v="S641"/>
    <x v="280"/>
    <x v="5"/>
    <x v="1"/>
    <s v="Blue"/>
    <x v="4"/>
    <x v="1"/>
    <n v="34.42"/>
    <n v="1"/>
    <n v="34.42"/>
    <s v="July"/>
  </r>
  <r>
    <s v="S642"/>
    <x v="262"/>
    <x v="5"/>
    <x v="2"/>
    <s v="Black"/>
    <x v="1"/>
    <x v="0"/>
    <n v="100.86"/>
    <n v="20"/>
    <n v="2017.2"/>
    <s v="November"/>
  </r>
  <r>
    <s v="S643"/>
    <x v="154"/>
    <x v="0"/>
    <x v="3"/>
    <s v="Black"/>
    <x v="3"/>
    <x v="2"/>
    <n v="76.52"/>
    <n v="10"/>
    <n v="765.2"/>
    <s v="March"/>
  </r>
  <r>
    <s v="S644"/>
    <x v="145"/>
    <x v="1"/>
    <x v="4"/>
    <s v="Black"/>
    <x v="2"/>
    <x v="1"/>
    <n v="102.05"/>
    <n v="16"/>
    <n v="1632.8"/>
    <s v="August"/>
  </r>
  <r>
    <s v="S645"/>
    <x v="205"/>
    <x v="4"/>
    <x v="3"/>
    <s v="Blue"/>
    <x v="0"/>
    <x v="2"/>
    <n v="56.35"/>
    <n v="6"/>
    <n v="338.1"/>
    <s v="July"/>
  </r>
  <r>
    <s v="S646"/>
    <x v="57"/>
    <x v="5"/>
    <x v="3"/>
    <s v="Blue"/>
    <x v="0"/>
    <x v="2"/>
    <n v="225.92"/>
    <n v="9"/>
    <n v="2033.28"/>
    <s v="January"/>
  </r>
  <r>
    <s v="S647"/>
    <x v="127"/>
    <x v="3"/>
    <x v="0"/>
    <s v="Green"/>
    <x v="1"/>
    <x v="0"/>
    <n v="160.59"/>
    <n v="2"/>
    <n v="321.18"/>
    <s v="October"/>
  </r>
  <r>
    <s v="S648"/>
    <x v="34"/>
    <x v="2"/>
    <x v="3"/>
    <s v="Grey"/>
    <x v="0"/>
    <x v="1"/>
    <n v="179.4"/>
    <n v="12"/>
    <n v="2152.8000000000002"/>
    <s v="December"/>
  </r>
  <r>
    <s v="S649"/>
    <x v="202"/>
    <x v="2"/>
    <x v="3"/>
    <s v="Grey"/>
    <x v="2"/>
    <x v="2"/>
    <n v="203.62"/>
    <n v="13"/>
    <n v="2647.06"/>
    <s v="February"/>
  </r>
  <r>
    <s v="S650"/>
    <x v="125"/>
    <x v="5"/>
    <x v="4"/>
    <s v="Black"/>
    <x v="6"/>
    <x v="1"/>
    <n v="139.66"/>
    <n v="8"/>
    <n v="1117.28"/>
    <s v="October"/>
  </r>
  <r>
    <s v="S651"/>
    <x v="308"/>
    <x v="2"/>
    <x v="5"/>
    <s v="Grey"/>
    <x v="2"/>
    <x v="1"/>
    <n v="49.12"/>
    <n v="17"/>
    <n v="835.04"/>
    <s v="January"/>
  </r>
  <r>
    <s v="S652"/>
    <x v="60"/>
    <x v="5"/>
    <x v="2"/>
    <s v="White"/>
    <x v="0"/>
    <x v="0"/>
    <n v="148.16"/>
    <n v="4"/>
    <n v="592.64"/>
    <s v="March"/>
  </r>
  <r>
    <s v="S653"/>
    <x v="27"/>
    <x v="5"/>
    <x v="1"/>
    <s v="Green"/>
    <x v="6"/>
    <x v="0"/>
    <n v="159.11000000000001"/>
    <n v="2"/>
    <n v="318.22000000000003"/>
    <s v="March"/>
  </r>
  <r>
    <s v="S654"/>
    <x v="309"/>
    <x v="2"/>
    <x v="4"/>
    <s v="Blue"/>
    <x v="2"/>
    <x v="0"/>
    <n v="194"/>
    <n v="5"/>
    <n v="970"/>
    <s v="November"/>
  </r>
  <r>
    <s v="S655"/>
    <x v="288"/>
    <x v="2"/>
    <x v="3"/>
    <s v="Grey"/>
    <x v="3"/>
    <x v="2"/>
    <n v="124.97"/>
    <n v="13"/>
    <n v="1624.61"/>
    <s v="February"/>
  </r>
  <r>
    <s v="S656"/>
    <x v="282"/>
    <x v="0"/>
    <x v="0"/>
    <s v="Grey"/>
    <x v="5"/>
    <x v="1"/>
    <n v="58.07"/>
    <n v="15"/>
    <n v="871.05"/>
    <s v="September"/>
  </r>
  <r>
    <s v="S657"/>
    <x v="233"/>
    <x v="5"/>
    <x v="2"/>
    <s v="White"/>
    <x v="5"/>
    <x v="1"/>
    <n v="92.43"/>
    <n v="4"/>
    <n v="369.72"/>
    <s v="August"/>
  </r>
  <r>
    <s v="S658"/>
    <x v="241"/>
    <x v="0"/>
    <x v="5"/>
    <s v="Black"/>
    <x v="4"/>
    <x v="2"/>
    <n v="109.88"/>
    <n v="4"/>
    <n v="439.52"/>
    <s v="October"/>
  </r>
  <r>
    <s v="S659"/>
    <x v="166"/>
    <x v="5"/>
    <x v="4"/>
    <s v="Red"/>
    <x v="2"/>
    <x v="2"/>
    <n v="172.1"/>
    <n v="12"/>
    <n v="2065.1999999999998"/>
    <s v="October"/>
  </r>
  <r>
    <s v="S660"/>
    <x v="201"/>
    <x v="5"/>
    <x v="1"/>
    <s v="White"/>
    <x v="3"/>
    <x v="2"/>
    <n v="155.57"/>
    <n v="20"/>
    <n v="3111.4"/>
    <s v="October"/>
  </r>
  <r>
    <s v="S661"/>
    <x v="16"/>
    <x v="2"/>
    <x v="0"/>
    <s v="Green"/>
    <x v="6"/>
    <x v="0"/>
    <n v="108.34"/>
    <n v="20"/>
    <n v="2166.8000000000002"/>
    <s v="March"/>
  </r>
  <r>
    <s v="S662"/>
    <x v="159"/>
    <x v="1"/>
    <x v="2"/>
    <s v="Black"/>
    <x v="2"/>
    <x v="2"/>
    <n v="247.03"/>
    <n v="11"/>
    <n v="2717.33"/>
    <s v="July"/>
  </r>
  <r>
    <s v="S663"/>
    <x v="310"/>
    <x v="0"/>
    <x v="4"/>
    <s v="Blue"/>
    <x v="3"/>
    <x v="2"/>
    <n v="163.27000000000001"/>
    <n v="12"/>
    <n v="1959.24"/>
    <s v="May"/>
  </r>
  <r>
    <s v="S664"/>
    <x v="116"/>
    <x v="3"/>
    <x v="2"/>
    <s v="Blue"/>
    <x v="2"/>
    <x v="2"/>
    <n v="82.19"/>
    <n v="4"/>
    <n v="328.76"/>
    <s v="September"/>
  </r>
  <r>
    <s v="S665"/>
    <x v="77"/>
    <x v="1"/>
    <x v="3"/>
    <s v="Grey"/>
    <x v="2"/>
    <x v="0"/>
    <n v="52.39"/>
    <n v="9"/>
    <n v="471.51"/>
    <s v="June"/>
  </r>
  <r>
    <s v="S666"/>
    <x v="311"/>
    <x v="3"/>
    <x v="3"/>
    <s v="Green"/>
    <x v="6"/>
    <x v="1"/>
    <n v="63.63"/>
    <n v="15"/>
    <n v="954.45"/>
    <s v="April"/>
  </r>
  <r>
    <s v="S667"/>
    <x v="30"/>
    <x v="2"/>
    <x v="2"/>
    <s v="Black"/>
    <x v="3"/>
    <x v="1"/>
    <n v="84.11"/>
    <n v="2"/>
    <n v="168.22"/>
    <s v="July"/>
  </r>
  <r>
    <s v="S668"/>
    <x v="239"/>
    <x v="3"/>
    <x v="5"/>
    <s v="Grey"/>
    <x v="1"/>
    <x v="0"/>
    <n v="65.349999999999994"/>
    <n v="13"/>
    <n v="849.55"/>
    <s v="September"/>
  </r>
  <r>
    <s v="S669"/>
    <x v="119"/>
    <x v="0"/>
    <x v="2"/>
    <s v="Black"/>
    <x v="6"/>
    <x v="0"/>
    <n v="71.040000000000006"/>
    <n v="7"/>
    <n v="497.28"/>
    <s v="April"/>
  </r>
  <r>
    <s v="S670"/>
    <x v="280"/>
    <x v="4"/>
    <x v="4"/>
    <s v="Red"/>
    <x v="5"/>
    <x v="2"/>
    <n v="92.72"/>
    <n v="7"/>
    <n v="649.04"/>
    <s v="July"/>
  </r>
  <r>
    <s v="S671"/>
    <x v="11"/>
    <x v="1"/>
    <x v="1"/>
    <s v="White"/>
    <x v="3"/>
    <x v="2"/>
    <n v="68.14"/>
    <n v="4"/>
    <n v="272.56"/>
    <s v="November"/>
  </r>
  <r>
    <s v="S672"/>
    <x v="133"/>
    <x v="3"/>
    <x v="3"/>
    <s v="Grey"/>
    <x v="5"/>
    <x v="2"/>
    <n v="227.29"/>
    <n v="15"/>
    <n v="3409.35"/>
    <s v="November"/>
  </r>
  <r>
    <s v="S673"/>
    <x v="220"/>
    <x v="4"/>
    <x v="0"/>
    <s v="Green"/>
    <x v="1"/>
    <x v="2"/>
    <n v="47.65"/>
    <n v="6"/>
    <n v="285.89999999999998"/>
    <s v="June"/>
  </r>
  <r>
    <s v="S674"/>
    <x v="112"/>
    <x v="0"/>
    <x v="2"/>
    <s v="Grey"/>
    <x v="4"/>
    <x v="0"/>
    <n v="145.38999999999999"/>
    <n v="13"/>
    <n v="1890.07"/>
    <s v="January"/>
  </r>
  <r>
    <s v="S675"/>
    <x v="168"/>
    <x v="1"/>
    <x v="2"/>
    <s v="Blue"/>
    <x v="2"/>
    <x v="2"/>
    <n v="120.29"/>
    <n v="8"/>
    <n v="962.32"/>
    <s v="April"/>
  </r>
  <r>
    <s v="S676"/>
    <x v="312"/>
    <x v="1"/>
    <x v="1"/>
    <s v="Red"/>
    <x v="0"/>
    <x v="1"/>
    <n v="246.12"/>
    <n v="1"/>
    <n v="246.12"/>
    <s v="September"/>
  </r>
  <r>
    <s v="S677"/>
    <x v="313"/>
    <x v="0"/>
    <x v="2"/>
    <s v="Blue"/>
    <x v="5"/>
    <x v="2"/>
    <n v="54.65"/>
    <n v="20"/>
    <n v="1093"/>
    <s v="March"/>
  </r>
  <r>
    <s v="S678"/>
    <x v="229"/>
    <x v="5"/>
    <x v="3"/>
    <s v="Blue"/>
    <x v="6"/>
    <x v="2"/>
    <n v="117.53"/>
    <n v="9"/>
    <n v="1057.77"/>
    <s v="December"/>
  </r>
  <r>
    <s v="S679"/>
    <x v="314"/>
    <x v="4"/>
    <x v="0"/>
    <s v="Grey"/>
    <x v="4"/>
    <x v="1"/>
    <n v="243.28"/>
    <n v="15"/>
    <n v="3649.2"/>
    <s v="April"/>
  </r>
  <r>
    <s v="S680"/>
    <x v="165"/>
    <x v="0"/>
    <x v="1"/>
    <s v="Grey"/>
    <x v="2"/>
    <x v="2"/>
    <n v="220.41"/>
    <n v="19"/>
    <n v="4187.79"/>
    <s v="July"/>
  </r>
  <r>
    <s v="S681"/>
    <x v="186"/>
    <x v="2"/>
    <x v="4"/>
    <s v="Blue"/>
    <x v="2"/>
    <x v="0"/>
    <n v="209.76"/>
    <n v="20"/>
    <n v="4195.2"/>
    <s v="October"/>
  </r>
  <r>
    <s v="S682"/>
    <x v="315"/>
    <x v="4"/>
    <x v="4"/>
    <s v="Green"/>
    <x v="3"/>
    <x v="2"/>
    <n v="86.74"/>
    <n v="3"/>
    <n v="260.22000000000003"/>
    <s v="September"/>
  </r>
  <r>
    <s v="S683"/>
    <x v="316"/>
    <x v="3"/>
    <x v="2"/>
    <s v="Grey"/>
    <x v="4"/>
    <x v="0"/>
    <n v="67.599999999999994"/>
    <n v="10"/>
    <n v="676"/>
    <s v="May"/>
  </r>
  <r>
    <s v="S684"/>
    <x v="317"/>
    <x v="5"/>
    <x v="0"/>
    <s v="Blue"/>
    <x v="2"/>
    <x v="0"/>
    <n v="177.1"/>
    <n v="20"/>
    <n v="3542"/>
    <s v="January"/>
  </r>
  <r>
    <s v="S685"/>
    <x v="318"/>
    <x v="4"/>
    <x v="4"/>
    <s v="Red"/>
    <x v="6"/>
    <x v="2"/>
    <n v="234.46"/>
    <n v="16"/>
    <n v="3751.36"/>
    <s v="January"/>
  </r>
  <r>
    <s v="S686"/>
    <x v="319"/>
    <x v="1"/>
    <x v="5"/>
    <s v="White"/>
    <x v="3"/>
    <x v="1"/>
    <n v="152.49"/>
    <n v="19"/>
    <n v="2897.31"/>
    <s v="January"/>
  </r>
  <r>
    <s v="S687"/>
    <x v="168"/>
    <x v="1"/>
    <x v="3"/>
    <s v="Green"/>
    <x v="3"/>
    <x v="1"/>
    <n v="155.75"/>
    <n v="18"/>
    <n v="2803.5"/>
    <s v="April"/>
  </r>
  <r>
    <s v="S688"/>
    <x v="157"/>
    <x v="1"/>
    <x v="5"/>
    <s v="White"/>
    <x v="3"/>
    <x v="0"/>
    <n v="91.6"/>
    <n v="6"/>
    <n v="549.6"/>
    <s v="June"/>
  </r>
  <r>
    <s v="S689"/>
    <x v="145"/>
    <x v="1"/>
    <x v="4"/>
    <s v="Green"/>
    <x v="4"/>
    <x v="1"/>
    <n v="199.29"/>
    <n v="5"/>
    <n v="996.45"/>
    <s v="August"/>
  </r>
  <r>
    <s v="S690"/>
    <x v="38"/>
    <x v="1"/>
    <x v="1"/>
    <s v="White"/>
    <x v="3"/>
    <x v="0"/>
    <n v="71.150000000000006"/>
    <n v="11"/>
    <n v="782.65"/>
    <s v="April"/>
  </r>
  <r>
    <s v="S691"/>
    <x v="274"/>
    <x v="4"/>
    <x v="4"/>
    <s v="Blue"/>
    <x v="5"/>
    <x v="2"/>
    <n v="101.21"/>
    <n v="14"/>
    <n v="1416.94"/>
    <s v="June"/>
  </r>
  <r>
    <s v="S692"/>
    <x v="320"/>
    <x v="5"/>
    <x v="1"/>
    <s v="Green"/>
    <x v="5"/>
    <x v="1"/>
    <n v="123.6"/>
    <n v="4"/>
    <n v="494.4"/>
    <s v="August"/>
  </r>
  <r>
    <s v="S693"/>
    <x v="48"/>
    <x v="5"/>
    <x v="2"/>
    <s v="Grey"/>
    <x v="1"/>
    <x v="1"/>
    <n v="141.66999999999999"/>
    <n v="3"/>
    <n v="425.01"/>
    <s v="November"/>
  </r>
  <r>
    <s v="S694"/>
    <x v="20"/>
    <x v="4"/>
    <x v="3"/>
    <s v="Black"/>
    <x v="4"/>
    <x v="0"/>
    <n v="83.33"/>
    <n v="17"/>
    <n v="1416.61"/>
    <s v="July"/>
  </r>
  <r>
    <s v="S695"/>
    <x v="18"/>
    <x v="4"/>
    <x v="3"/>
    <s v="Grey"/>
    <x v="6"/>
    <x v="0"/>
    <n v="55.26"/>
    <n v="7"/>
    <n v="386.82"/>
    <s v="March"/>
  </r>
  <r>
    <s v="S696"/>
    <x v="15"/>
    <x v="0"/>
    <x v="3"/>
    <s v="Blue"/>
    <x v="2"/>
    <x v="0"/>
    <n v="164.34"/>
    <n v="6"/>
    <n v="986.04"/>
    <s v="June"/>
  </r>
  <r>
    <s v="S697"/>
    <x v="69"/>
    <x v="0"/>
    <x v="3"/>
    <s v="Blue"/>
    <x v="0"/>
    <x v="0"/>
    <n v="93.5"/>
    <n v="2"/>
    <n v="187"/>
    <s v="June"/>
  </r>
  <r>
    <s v="S698"/>
    <x v="9"/>
    <x v="5"/>
    <x v="1"/>
    <s v="White"/>
    <x v="5"/>
    <x v="2"/>
    <n v="157.87"/>
    <n v="6"/>
    <n v="947.22"/>
    <s v="October"/>
  </r>
  <r>
    <s v="S699"/>
    <x v="79"/>
    <x v="5"/>
    <x v="3"/>
    <s v="Red"/>
    <x v="6"/>
    <x v="0"/>
    <n v="63.96"/>
    <n v="14"/>
    <n v="895.44"/>
    <s v="November"/>
  </r>
  <r>
    <s v="S700"/>
    <x v="64"/>
    <x v="3"/>
    <x v="0"/>
    <s v="Blue"/>
    <x v="1"/>
    <x v="2"/>
    <n v="135.85"/>
    <n v="18"/>
    <n v="2445.3000000000002"/>
    <s v="January"/>
  </r>
  <r>
    <s v="S701"/>
    <x v="189"/>
    <x v="0"/>
    <x v="0"/>
    <s v="Black"/>
    <x v="2"/>
    <x v="1"/>
    <n v="147.16999999999999"/>
    <n v="7"/>
    <n v="1030.19"/>
    <s v="September"/>
  </r>
  <r>
    <s v="S702"/>
    <x v="37"/>
    <x v="1"/>
    <x v="4"/>
    <s v="Blue"/>
    <x v="0"/>
    <x v="0"/>
    <n v="41.4"/>
    <n v="8"/>
    <n v="331.2"/>
    <s v="May"/>
  </r>
  <r>
    <s v="S703"/>
    <x v="200"/>
    <x v="2"/>
    <x v="4"/>
    <s v="White"/>
    <x v="1"/>
    <x v="0"/>
    <n v="104.05"/>
    <n v="17"/>
    <n v="1768.85"/>
    <s v="July"/>
  </r>
  <r>
    <s v="S704"/>
    <x v="23"/>
    <x v="5"/>
    <x v="0"/>
    <s v="Grey"/>
    <x v="5"/>
    <x v="1"/>
    <n v="59.57"/>
    <n v="10"/>
    <n v="595.70000000000005"/>
    <s v="June"/>
  </r>
  <r>
    <s v="S705"/>
    <x v="211"/>
    <x v="1"/>
    <x v="2"/>
    <s v="Blue"/>
    <x v="6"/>
    <x v="2"/>
    <n v="43.94"/>
    <n v="14"/>
    <n v="615.16"/>
    <s v="June"/>
  </r>
  <r>
    <s v="S706"/>
    <x v="311"/>
    <x v="5"/>
    <x v="1"/>
    <s v="White"/>
    <x v="0"/>
    <x v="1"/>
    <n v="247.79"/>
    <n v="6"/>
    <n v="1486.74"/>
    <s v="April"/>
  </r>
  <r>
    <s v="S707"/>
    <x v="162"/>
    <x v="1"/>
    <x v="1"/>
    <s v="Grey"/>
    <x v="5"/>
    <x v="0"/>
    <n v="100.92"/>
    <n v="7"/>
    <n v="706.44"/>
    <s v="March"/>
  </r>
  <r>
    <s v="S708"/>
    <x v="231"/>
    <x v="1"/>
    <x v="0"/>
    <s v="Black"/>
    <x v="6"/>
    <x v="1"/>
    <n v="208.17"/>
    <n v="12"/>
    <n v="2498.04"/>
    <s v="March"/>
  </r>
  <r>
    <s v="S709"/>
    <x v="156"/>
    <x v="2"/>
    <x v="1"/>
    <s v="Grey"/>
    <x v="1"/>
    <x v="1"/>
    <n v="86.02"/>
    <n v="18"/>
    <n v="1548.36"/>
    <s v="May"/>
  </r>
  <r>
    <s v="S710"/>
    <x v="178"/>
    <x v="0"/>
    <x v="0"/>
    <s v="Black"/>
    <x v="6"/>
    <x v="2"/>
    <n v="179.93"/>
    <n v="1"/>
    <n v="179.93"/>
    <s v="February"/>
  </r>
  <r>
    <s v="S711"/>
    <x v="276"/>
    <x v="2"/>
    <x v="4"/>
    <s v="Red"/>
    <x v="2"/>
    <x v="0"/>
    <n v="197.25"/>
    <n v="4"/>
    <n v="789"/>
    <s v="July"/>
  </r>
  <r>
    <s v="S712"/>
    <x v="256"/>
    <x v="4"/>
    <x v="3"/>
    <s v="Green"/>
    <x v="1"/>
    <x v="1"/>
    <n v="161.04"/>
    <n v="1"/>
    <n v="161.04"/>
    <s v="April"/>
  </r>
  <r>
    <s v="S713"/>
    <x v="282"/>
    <x v="2"/>
    <x v="5"/>
    <s v="Green"/>
    <x v="0"/>
    <x v="2"/>
    <n v="133.75"/>
    <n v="9"/>
    <n v="1203.75"/>
    <s v="September"/>
  </r>
  <r>
    <s v="S714"/>
    <x v="321"/>
    <x v="1"/>
    <x v="5"/>
    <s v="Black"/>
    <x v="3"/>
    <x v="0"/>
    <n v="120.61"/>
    <n v="17"/>
    <n v="2050.37"/>
    <s v="February"/>
  </r>
  <r>
    <s v="S715"/>
    <x v="54"/>
    <x v="3"/>
    <x v="5"/>
    <s v="White"/>
    <x v="4"/>
    <x v="2"/>
    <n v="106.75"/>
    <n v="16"/>
    <n v="1708"/>
    <s v="February"/>
  </r>
  <r>
    <s v="S716"/>
    <x v="322"/>
    <x v="4"/>
    <x v="0"/>
    <s v="Red"/>
    <x v="3"/>
    <x v="0"/>
    <n v="234.5"/>
    <n v="7"/>
    <n v="1641.5"/>
    <s v="September"/>
  </r>
  <r>
    <s v="S717"/>
    <x v="300"/>
    <x v="5"/>
    <x v="2"/>
    <s v="Green"/>
    <x v="6"/>
    <x v="2"/>
    <n v="212.74"/>
    <n v="18"/>
    <n v="3829.32"/>
    <s v="January"/>
  </r>
  <r>
    <s v="S718"/>
    <x v="251"/>
    <x v="0"/>
    <x v="0"/>
    <s v="Black"/>
    <x v="1"/>
    <x v="1"/>
    <n v="242.31"/>
    <n v="1"/>
    <n v="242.31"/>
    <s v="May"/>
  </r>
  <r>
    <s v="S719"/>
    <x v="34"/>
    <x v="3"/>
    <x v="1"/>
    <s v="Grey"/>
    <x v="1"/>
    <x v="1"/>
    <n v="57.35"/>
    <n v="16"/>
    <n v="917.6"/>
    <s v="December"/>
  </r>
  <r>
    <s v="S720"/>
    <x v="210"/>
    <x v="1"/>
    <x v="2"/>
    <s v="Red"/>
    <x v="3"/>
    <x v="2"/>
    <n v="190.79"/>
    <n v="9"/>
    <n v="1717.11"/>
    <s v="February"/>
  </r>
  <r>
    <s v="S721"/>
    <x v="320"/>
    <x v="0"/>
    <x v="2"/>
    <s v="Black"/>
    <x v="4"/>
    <x v="2"/>
    <n v="236.43"/>
    <n v="2"/>
    <n v="472.86"/>
    <s v="August"/>
  </r>
  <r>
    <s v="S722"/>
    <x v="280"/>
    <x v="5"/>
    <x v="0"/>
    <s v="Black"/>
    <x v="1"/>
    <x v="0"/>
    <n v="69.87"/>
    <n v="11"/>
    <n v="768.57"/>
    <s v="July"/>
  </r>
  <r>
    <s v="S723"/>
    <x v="323"/>
    <x v="1"/>
    <x v="0"/>
    <s v="White"/>
    <x v="3"/>
    <x v="2"/>
    <n v="44.63"/>
    <n v="5"/>
    <n v="223.15"/>
    <s v="January"/>
  </r>
  <r>
    <s v="S724"/>
    <x v="279"/>
    <x v="4"/>
    <x v="0"/>
    <s v="Black"/>
    <x v="3"/>
    <x v="2"/>
    <n v="193.05"/>
    <n v="20"/>
    <n v="3861"/>
    <s v="August"/>
  </r>
  <r>
    <s v="S725"/>
    <x v="38"/>
    <x v="5"/>
    <x v="3"/>
    <s v="Red"/>
    <x v="3"/>
    <x v="2"/>
    <n v="156.38"/>
    <n v="4"/>
    <n v="625.52"/>
    <s v="April"/>
  </r>
  <r>
    <s v="S726"/>
    <x v="29"/>
    <x v="5"/>
    <x v="0"/>
    <s v="White"/>
    <x v="1"/>
    <x v="0"/>
    <n v="215.2"/>
    <n v="16"/>
    <n v="3443.2"/>
    <s v="December"/>
  </r>
  <r>
    <s v="S727"/>
    <x v="82"/>
    <x v="3"/>
    <x v="1"/>
    <s v="Red"/>
    <x v="5"/>
    <x v="2"/>
    <n v="60.75"/>
    <n v="2"/>
    <n v="121.5"/>
    <s v="December"/>
  </r>
  <r>
    <s v="S728"/>
    <x v="324"/>
    <x v="3"/>
    <x v="5"/>
    <s v="Red"/>
    <x v="4"/>
    <x v="2"/>
    <n v="204.96"/>
    <n v="15"/>
    <n v="3074.4"/>
    <s v="October"/>
  </r>
  <r>
    <s v="S729"/>
    <x v="325"/>
    <x v="1"/>
    <x v="0"/>
    <s v="White"/>
    <x v="6"/>
    <x v="2"/>
    <n v="74.36"/>
    <n v="1"/>
    <n v="74.36"/>
    <s v="November"/>
  </r>
  <r>
    <s v="S730"/>
    <x v="25"/>
    <x v="5"/>
    <x v="1"/>
    <s v="Black"/>
    <x v="3"/>
    <x v="1"/>
    <n v="66"/>
    <n v="14"/>
    <n v="924"/>
    <s v="February"/>
  </r>
  <r>
    <s v="S731"/>
    <x v="69"/>
    <x v="1"/>
    <x v="0"/>
    <s v="Grey"/>
    <x v="4"/>
    <x v="1"/>
    <n v="66.14"/>
    <n v="1"/>
    <n v="66.14"/>
    <s v="June"/>
  </r>
  <r>
    <s v="S732"/>
    <x v="9"/>
    <x v="3"/>
    <x v="0"/>
    <s v="Blue"/>
    <x v="5"/>
    <x v="1"/>
    <n v="209.21"/>
    <n v="19"/>
    <n v="3974.99"/>
    <s v="October"/>
  </r>
  <r>
    <s v="S733"/>
    <x v="83"/>
    <x v="0"/>
    <x v="3"/>
    <s v="Green"/>
    <x v="2"/>
    <x v="0"/>
    <n v="176.34"/>
    <n v="20"/>
    <n v="3526.8"/>
    <s v="December"/>
  </r>
  <r>
    <s v="S734"/>
    <x v="315"/>
    <x v="1"/>
    <x v="0"/>
    <s v="Green"/>
    <x v="6"/>
    <x v="0"/>
    <n v="145.07"/>
    <n v="12"/>
    <n v="1740.84"/>
    <s v="September"/>
  </r>
  <r>
    <s v="S735"/>
    <x v="14"/>
    <x v="0"/>
    <x v="1"/>
    <s v="Green"/>
    <x v="0"/>
    <x v="1"/>
    <n v="108.94"/>
    <n v="20"/>
    <n v="2178.8000000000002"/>
    <s v="October"/>
  </r>
  <r>
    <s v="S736"/>
    <x v="136"/>
    <x v="3"/>
    <x v="1"/>
    <s v="Red"/>
    <x v="3"/>
    <x v="0"/>
    <n v="222.98"/>
    <n v="16"/>
    <n v="3567.68"/>
    <s v="August"/>
  </r>
  <r>
    <s v="S737"/>
    <x v="92"/>
    <x v="0"/>
    <x v="5"/>
    <s v="White"/>
    <x v="5"/>
    <x v="1"/>
    <n v="116.34"/>
    <n v="9"/>
    <n v="1047.06"/>
    <s v="June"/>
  </r>
  <r>
    <s v="S738"/>
    <x v="8"/>
    <x v="3"/>
    <x v="1"/>
    <s v="Red"/>
    <x v="6"/>
    <x v="1"/>
    <n v="209.65"/>
    <n v="13"/>
    <n v="2725.45"/>
    <s v="July"/>
  </r>
  <r>
    <s v="S739"/>
    <x v="214"/>
    <x v="5"/>
    <x v="3"/>
    <s v="Blue"/>
    <x v="1"/>
    <x v="2"/>
    <n v="126.61"/>
    <n v="3"/>
    <n v="379.83"/>
    <s v="August"/>
  </r>
  <r>
    <s v="S740"/>
    <x v="307"/>
    <x v="0"/>
    <x v="3"/>
    <s v="Red"/>
    <x v="1"/>
    <x v="1"/>
    <n v="112.93"/>
    <n v="1"/>
    <n v="112.93"/>
    <s v="December"/>
  </r>
  <r>
    <s v="S741"/>
    <x v="238"/>
    <x v="0"/>
    <x v="5"/>
    <s v="Grey"/>
    <x v="2"/>
    <x v="2"/>
    <n v="131.79"/>
    <n v="1"/>
    <n v="131.79"/>
    <s v="October"/>
  </r>
  <r>
    <s v="S742"/>
    <x v="290"/>
    <x v="3"/>
    <x v="0"/>
    <s v="Green"/>
    <x v="6"/>
    <x v="2"/>
    <n v="96.3"/>
    <n v="18"/>
    <n v="1733.4"/>
    <s v="September"/>
  </r>
  <r>
    <s v="S743"/>
    <x v="213"/>
    <x v="3"/>
    <x v="3"/>
    <s v="Blue"/>
    <x v="5"/>
    <x v="1"/>
    <n v="194.47"/>
    <n v="2"/>
    <n v="388.94"/>
    <s v="July"/>
  </r>
  <r>
    <s v="S744"/>
    <x v="106"/>
    <x v="1"/>
    <x v="0"/>
    <s v="Blue"/>
    <x v="2"/>
    <x v="2"/>
    <n v="140.6"/>
    <n v="16"/>
    <n v="2249.6"/>
    <s v="November"/>
  </r>
  <r>
    <s v="S745"/>
    <x v="177"/>
    <x v="1"/>
    <x v="2"/>
    <s v="Black"/>
    <x v="3"/>
    <x v="2"/>
    <n v="81.09"/>
    <n v="4"/>
    <n v="324.36"/>
    <s v="February"/>
  </r>
  <r>
    <s v="S746"/>
    <x v="79"/>
    <x v="2"/>
    <x v="5"/>
    <s v="Blue"/>
    <x v="2"/>
    <x v="0"/>
    <n v="227.91"/>
    <n v="10"/>
    <n v="2279.1"/>
    <s v="November"/>
  </r>
  <r>
    <s v="S747"/>
    <x v="152"/>
    <x v="5"/>
    <x v="2"/>
    <s v="Green"/>
    <x v="2"/>
    <x v="1"/>
    <n v="114.46"/>
    <n v="6"/>
    <n v="686.76"/>
    <s v="January"/>
  </r>
  <r>
    <s v="S748"/>
    <x v="169"/>
    <x v="4"/>
    <x v="5"/>
    <s v="White"/>
    <x v="0"/>
    <x v="0"/>
    <n v="149.58000000000001"/>
    <n v="4"/>
    <n v="598.32000000000005"/>
    <s v="July"/>
  </r>
  <r>
    <s v="S749"/>
    <x v="285"/>
    <x v="5"/>
    <x v="2"/>
    <s v="Green"/>
    <x v="3"/>
    <x v="0"/>
    <n v="229.42"/>
    <n v="7"/>
    <n v="1605.94"/>
    <s v="July"/>
  </r>
  <r>
    <s v="S750"/>
    <x v="172"/>
    <x v="1"/>
    <x v="0"/>
    <s v="Grey"/>
    <x v="1"/>
    <x v="2"/>
    <n v="167.33"/>
    <n v="2"/>
    <n v="334.66"/>
    <s v="August"/>
  </r>
  <r>
    <s v="S751"/>
    <x v="286"/>
    <x v="2"/>
    <x v="2"/>
    <s v="Red"/>
    <x v="1"/>
    <x v="1"/>
    <n v="55.72"/>
    <n v="19"/>
    <n v="1058.68"/>
    <s v="August"/>
  </r>
  <r>
    <s v="S752"/>
    <x v="222"/>
    <x v="5"/>
    <x v="5"/>
    <s v="Red"/>
    <x v="5"/>
    <x v="0"/>
    <n v="236.76"/>
    <n v="18"/>
    <n v="4261.68"/>
    <s v="January"/>
  </r>
  <r>
    <s v="S753"/>
    <x v="117"/>
    <x v="3"/>
    <x v="0"/>
    <s v="White"/>
    <x v="1"/>
    <x v="2"/>
    <n v="168.1"/>
    <n v="19"/>
    <n v="3193.9"/>
    <s v="December"/>
  </r>
  <r>
    <s v="S754"/>
    <x v="139"/>
    <x v="2"/>
    <x v="4"/>
    <s v="Grey"/>
    <x v="6"/>
    <x v="2"/>
    <n v="103.68"/>
    <n v="20"/>
    <n v="2073.6"/>
    <s v="December"/>
  </r>
  <r>
    <s v="S755"/>
    <x v="326"/>
    <x v="4"/>
    <x v="3"/>
    <s v="Blue"/>
    <x v="3"/>
    <x v="2"/>
    <n v="60.64"/>
    <n v="8"/>
    <n v="485.12"/>
    <s v="November"/>
  </r>
  <r>
    <s v="S756"/>
    <x v="296"/>
    <x v="5"/>
    <x v="5"/>
    <s v="Green"/>
    <x v="2"/>
    <x v="1"/>
    <n v="204.69"/>
    <n v="5"/>
    <n v="1023.45"/>
    <s v="March"/>
  </r>
  <r>
    <s v="S757"/>
    <x v="157"/>
    <x v="4"/>
    <x v="0"/>
    <s v="Green"/>
    <x v="5"/>
    <x v="1"/>
    <n v="166.42"/>
    <n v="18"/>
    <n v="2995.56"/>
    <s v="June"/>
  </r>
  <r>
    <s v="S758"/>
    <x v="314"/>
    <x v="3"/>
    <x v="5"/>
    <s v="Green"/>
    <x v="3"/>
    <x v="1"/>
    <n v="147.36000000000001"/>
    <n v="7"/>
    <n v="1031.52"/>
    <s v="April"/>
  </r>
  <r>
    <s v="S759"/>
    <x v="220"/>
    <x v="1"/>
    <x v="0"/>
    <s v="White"/>
    <x v="5"/>
    <x v="1"/>
    <n v="226.66"/>
    <n v="5"/>
    <n v="1133.3"/>
    <s v="June"/>
  </r>
  <r>
    <s v="S760"/>
    <x v="91"/>
    <x v="1"/>
    <x v="1"/>
    <s v="Blue"/>
    <x v="5"/>
    <x v="2"/>
    <n v="203.49"/>
    <n v="11"/>
    <n v="2238.39"/>
    <s v="December"/>
  </r>
  <r>
    <s v="S761"/>
    <x v="241"/>
    <x v="1"/>
    <x v="0"/>
    <s v="Red"/>
    <x v="2"/>
    <x v="1"/>
    <n v="63.37"/>
    <n v="19"/>
    <n v="1204.03"/>
    <s v="October"/>
  </r>
  <r>
    <s v="S762"/>
    <x v="123"/>
    <x v="5"/>
    <x v="1"/>
    <s v="Grey"/>
    <x v="1"/>
    <x v="0"/>
    <n v="98.58"/>
    <n v="10"/>
    <n v="985.8"/>
    <s v="October"/>
  </r>
  <r>
    <s v="S763"/>
    <x v="20"/>
    <x v="0"/>
    <x v="0"/>
    <s v="Black"/>
    <x v="0"/>
    <x v="2"/>
    <n v="84.67"/>
    <n v="5"/>
    <n v="423.35"/>
    <s v="July"/>
  </r>
  <r>
    <s v="S764"/>
    <x v="216"/>
    <x v="1"/>
    <x v="4"/>
    <s v="White"/>
    <x v="4"/>
    <x v="0"/>
    <n v="193.67"/>
    <n v="10"/>
    <n v="1936.7"/>
    <s v="March"/>
  </r>
  <r>
    <s v="S765"/>
    <x v="29"/>
    <x v="3"/>
    <x v="5"/>
    <s v="Black"/>
    <x v="3"/>
    <x v="2"/>
    <n v="37.380000000000003"/>
    <n v="10"/>
    <n v="373.8"/>
    <s v="December"/>
  </r>
  <r>
    <s v="S766"/>
    <x v="6"/>
    <x v="1"/>
    <x v="0"/>
    <s v="Grey"/>
    <x v="4"/>
    <x v="0"/>
    <n v="155.38"/>
    <n v="20"/>
    <n v="3107.6"/>
    <s v="February"/>
  </r>
  <r>
    <s v="S767"/>
    <x v="206"/>
    <x v="5"/>
    <x v="2"/>
    <s v="Grey"/>
    <x v="4"/>
    <x v="1"/>
    <n v="197.74"/>
    <n v="18"/>
    <n v="3559.32"/>
    <s v="November"/>
  </r>
  <r>
    <s v="S768"/>
    <x v="138"/>
    <x v="5"/>
    <x v="3"/>
    <s v="Red"/>
    <x v="4"/>
    <x v="1"/>
    <n v="222.89"/>
    <n v="2"/>
    <n v="445.78"/>
    <s v="May"/>
  </r>
  <r>
    <s v="S769"/>
    <x v="69"/>
    <x v="0"/>
    <x v="1"/>
    <s v="Green"/>
    <x v="3"/>
    <x v="0"/>
    <n v="105.26"/>
    <n v="18"/>
    <n v="1894.68"/>
    <s v="June"/>
  </r>
  <r>
    <s v="S770"/>
    <x v="48"/>
    <x v="3"/>
    <x v="0"/>
    <s v="Green"/>
    <x v="2"/>
    <x v="1"/>
    <n v="210.68"/>
    <n v="15"/>
    <n v="3160.2"/>
    <s v="November"/>
  </r>
  <r>
    <s v="S771"/>
    <x v="103"/>
    <x v="2"/>
    <x v="0"/>
    <s v="Grey"/>
    <x v="0"/>
    <x v="1"/>
    <n v="54.34"/>
    <n v="19"/>
    <n v="1032.46"/>
    <s v="July"/>
  </r>
  <r>
    <s v="S772"/>
    <x v="215"/>
    <x v="5"/>
    <x v="2"/>
    <s v="Green"/>
    <x v="1"/>
    <x v="0"/>
    <n v="216.22"/>
    <n v="10"/>
    <n v="2162.1999999999998"/>
    <s v="April"/>
  </r>
  <r>
    <s v="S773"/>
    <x v="313"/>
    <x v="0"/>
    <x v="3"/>
    <s v="Black"/>
    <x v="6"/>
    <x v="2"/>
    <n v="58.05"/>
    <n v="17"/>
    <n v="986.85"/>
    <s v="March"/>
  </r>
  <r>
    <s v="S774"/>
    <x v="327"/>
    <x v="3"/>
    <x v="2"/>
    <s v="Grey"/>
    <x v="4"/>
    <x v="2"/>
    <n v="117.4"/>
    <n v="9"/>
    <n v="1056.5999999999999"/>
    <s v="October"/>
  </r>
  <r>
    <s v="S775"/>
    <x v="247"/>
    <x v="5"/>
    <x v="0"/>
    <s v="White"/>
    <x v="1"/>
    <x v="0"/>
    <n v="205.4"/>
    <n v="11"/>
    <n v="2259.4"/>
    <s v="January"/>
  </r>
  <r>
    <s v="S776"/>
    <x v="198"/>
    <x v="0"/>
    <x v="0"/>
    <s v="Grey"/>
    <x v="4"/>
    <x v="1"/>
    <n v="62.98"/>
    <n v="20"/>
    <n v="1259.5999999999999"/>
    <s v="June"/>
  </r>
  <r>
    <s v="S777"/>
    <x v="328"/>
    <x v="2"/>
    <x v="5"/>
    <s v="Blue"/>
    <x v="1"/>
    <x v="1"/>
    <n v="80.44"/>
    <n v="16"/>
    <n v="1287.04"/>
    <s v="June"/>
  </r>
  <r>
    <s v="S778"/>
    <x v="86"/>
    <x v="3"/>
    <x v="2"/>
    <s v="Grey"/>
    <x v="1"/>
    <x v="1"/>
    <n v="188.9"/>
    <n v="17"/>
    <n v="3211.3"/>
    <s v="June"/>
  </r>
  <r>
    <s v="S779"/>
    <x v="5"/>
    <x v="2"/>
    <x v="5"/>
    <s v="Red"/>
    <x v="1"/>
    <x v="2"/>
    <n v="188.41"/>
    <n v="14"/>
    <n v="2637.74"/>
    <s v="March"/>
  </r>
  <r>
    <s v="S780"/>
    <x v="168"/>
    <x v="1"/>
    <x v="4"/>
    <s v="Blue"/>
    <x v="3"/>
    <x v="2"/>
    <n v="171.05"/>
    <n v="7"/>
    <n v="1197.3499999999999"/>
    <s v="April"/>
  </r>
  <r>
    <s v="S781"/>
    <x v="314"/>
    <x v="2"/>
    <x v="3"/>
    <s v="Grey"/>
    <x v="4"/>
    <x v="1"/>
    <n v="182.67"/>
    <n v="20"/>
    <n v="3653.4"/>
    <s v="April"/>
  </r>
  <r>
    <s v="S782"/>
    <x v="323"/>
    <x v="1"/>
    <x v="4"/>
    <s v="Red"/>
    <x v="0"/>
    <x v="1"/>
    <n v="149.4"/>
    <n v="4"/>
    <n v="597.6"/>
    <s v="January"/>
  </r>
  <r>
    <s v="S783"/>
    <x v="253"/>
    <x v="3"/>
    <x v="1"/>
    <s v="Green"/>
    <x v="3"/>
    <x v="2"/>
    <n v="85.4"/>
    <n v="20"/>
    <n v="1708"/>
    <s v="November"/>
  </r>
  <r>
    <s v="S784"/>
    <x v="177"/>
    <x v="4"/>
    <x v="5"/>
    <s v="Green"/>
    <x v="3"/>
    <x v="0"/>
    <n v="106.05"/>
    <n v="13"/>
    <n v="1378.65"/>
    <s v="February"/>
  </r>
  <r>
    <s v="S785"/>
    <x v="329"/>
    <x v="2"/>
    <x v="5"/>
    <s v="Red"/>
    <x v="6"/>
    <x v="0"/>
    <n v="69.95"/>
    <n v="12"/>
    <n v="839.4"/>
    <s v="September"/>
  </r>
  <r>
    <s v="S786"/>
    <x v="122"/>
    <x v="4"/>
    <x v="5"/>
    <s v="Black"/>
    <x v="1"/>
    <x v="0"/>
    <n v="229.86"/>
    <n v="7"/>
    <n v="1609.02"/>
    <s v="June"/>
  </r>
  <r>
    <s v="S787"/>
    <x v="71"/>
    <x v="0"/>
    <x v="0"/>
    <s v="Black"/>
    <x v="0"/>
    <x v="1"/>
    <n v="158.35"/>
    <n v="18"/>
    <n v="2850.3"/>
    <s v="October"/>
  </r>
  <r>
    <s v="S788"/>
    <x v="301"/>
    <x v="1"/>
    <x v="3"/>
    <s v="Black"/>
    <x v="0"/>
    <x v="1"/>
    <n v="118.19"/>
    <n v="7"/>
    <n v="827.33"/>
    <s v="November"/>
  </r>
  <r>
    <s v="S789"/>
    <x v="330"/>
    <x v="1"/>
    <x v="1"/>
    <s v="Green"/>
    <x v="2"/>
    <x v="0"/>
    <n v="131.63999999999999"/>
    <n v="14"/>
    <n v="1842.96"/>
    <s v="December"/>
  </r>
  <r>
    <s v="S790"/>
    <x v="331"/>
    <x v="1"/>
    <x v="4"/>
    <s v="Black"/>
    <x v="1"/>
    <x v="0"/>
    <n v="238.4"/>
    <n v="15"/>
    <n v="3576"/>
    <s v="January"/>
  </r>
  <r>
    <s v="S791"/>
    <x v="36"/>
    <x v="4"/>
    <x v="5"/>
    <s v="Black"/>
    <x v="5"/>
    <x v="0"/>
    <n v="63.74"/>
    <n v="6"/>
    <n v="382.44"/>
    <s v="January"/>
  </r>
  <r>
    <s v="S792"/>
    <x v="113"/>
    <x v="5"/>
    <x v="3"/>
    <s v="Green"/>
    <x v="6"/>
    <x v="2"/>
    <n v="158.97"/>
    <n v="14"/>
    <n v="2225.58"/>
    <s v="May"/>
  </r>
  <r>
    <s v="S793"/>
    <x v="15"/>
    <x v="5"/>
    <x v="0"/>
    <s v="Black"/>
    <x v="5"/>
    <x v="0"/>
    <n v="141.30000000000001"/>
    <n v="1"/>
    <n v="141.30000000000001"/>
    <s v="June"/>
  </r>
  <r>
    <s v="S794"/>
    <x v="174"/>
    <x v="0"/>
    <x v="0"/>
    <s v="Grey"/>
    <x v="1"/>
    <x v="1"/>
    <n v="164.52"/>
    <n v="20"/>
    <n v="3290.4"/>
    <s v="November"/>
  </r>
  <r>
    <s v="S795"/>
    <x v="50"/>
    <x v="2"/>
    <x v="1"/>
    <s v="Blue"/>
    <x v="4"/>
    <x v="1"/>
    <n v="33.979999999999997"/>
    <n v="12"/>
    <n v="407.76"/>
    <s v="February"/>
  </r>
  <r>
    <s v="S796"/>
    <x v="328"/>
    <x v="0"/>
    <x v="4"/>
    <s v="Red"/>
    <x v="6"/>
    <x v="2"/>
    <n v="221.87"/>
    <n v="20"/>
    <n v="4437.3999999999996"/>
    <s v="June"/>
  </r>
  <r>
    <s v="S797"/>
    <x v="107"/>
    <x v="5"/>
    <x v="2"/>
    <s v="Grey"/>
    <x v="0"/>
    <x v="0"/>
    <n v="235.07"/>
    <n v="1"/>
    <n v="235.07"/>
    <s v="December"/>
  </r>
  <r>
    <s v="S798"/>
    <x v="291"/>
    <x v="4"/>
    <x v="0"/>
    <s v="White"/>
    <x v="3"/>
    <x v="1"/>
    <n v="154.33000000000001"/>
    <n v="18"/>
    <n v="2777.94"/>
    <s v="July"/>
  </r>
  <r>
    <s v="S799"/>
    <x v="206"/>
    <x v="0"/>
    <x v="5"/>
    <s v="Grey"/>
    <x v="0"/>
    <x v="0"/>
    <n v="183.26"/>
    <n v="12"/>
    <n v="2199.12"/>
    <s v="November"/>
  </r>
  <r>
    <s v="S800"/>
    <x v="221"/>
    <x v="2"/>
    <x v="5"/>
    <s v="Red"/>
    <x v="5"/>
    <x v="1"/>
    <n v="232.95"/>
    <n v="1"/>
    <n v="232.95"/>
    <s v="January"/>
  </r>
  <r>
    <s v="S801"/>
    <x v="275"/>
    <x v="3"/>
    <x v="0"/>
    <s v="Green"/>
    <x v="2"/>
    <x v="2"/>
    <n v="185.59"/>
    <n v="10"/>
    <n v="1855.9"/>
    <s v="February"/>
  </r>
  <r>
    <s v="S802"/>
    <x v="99"/>
    <x v="1"/>
    <x v="5"/>
    <s v="White"/>
    <x v="0"/>
    <x v="0"/>
    <n v="63.56"/>
    <n v="14"/>
    <n v="889.84"/>
    <s v="April"/>
  </r>
  <r>
    <s v="S803"/>
    <x v="168"/>
    <x v="4"/>
    <x v="2"/>
    <s v="Black"/>
    <x v="0"/>
    <x v="1"/>
    <n v="156.78"/>
    <n v="20"/>
    <n v="3135.6"/>
    <s v="April"/>
  </r>
  <r>
    <s v="S804"/>
    <x v="305"/>
    <x v="2"/>
    <x v="3"/>
    <s v="Green"/>
    <x v="5"/>
    <x v="0"/>
    <n v="163.47999999999999"/>
    <n v="2"/>
    <n v="326.95999999999998"/>
    <s v="October"/>
  </r>
  <r>
    <s v="S805"/>
    <x v="10"/>
    <x v="4"/>
    <x v="1"/>
    <s v="White"/>
    <x v="2"/>
    <x v="1"/>
    <n v="123.31"/>
    <n v="3"/>
    <n v="369.93"/>
    <s v="May"/>
  </r>
  <r>
    <s v="S806"/>
    <x v="43"/>
    <x v="4"/>
    <x v="2"/>
    <s v="Green"/>
    <x v="2"/>
    <x v="0"/>
    <n v="192.02"/>
    <n v="11"/>
    <n v="2112.2199999999998"/>
    <s v="September"/>
  </r>
  <r>
    <s v="S807"/>
    <x v="210"/>
    <x v="2"/>
    <x v="1"/>
    <s v="White"/>
    <x v="3"/>
    <x v="2"/>
    <n v="235.56"/>
    <n v="10"/>
    <n v="2355.6"/>
    <s v="February"/>
  </r>
  <r>
    <s v="S808"/>
    <x v="230"/>
    <x v="2"/>
    <x v="0"/>
    <s v="Blue"/>
    <x v="2"/>
    <x v="1"/>
    <n v="233.63"/>
    <n v="11"/>
    <n v="2569.9299999999998"/>
    <s v="August"/>
  </r>
  <r>
    <s v="S809"/>
    <x v="19"/>
    <x v="2"/>
    <x v="4"/>
    <s v="Blue"/>
    <x v="6"/>
    <x v="0"/>
    <n v="129.18"/>
    <n v="19"/>
    <n v="2454.42"/>
    <s v="March"/>
  </r>
  <r>
    <s v="S810"/>
    <x v="247"/>
    <x v="3"/>
    <x v="2"/>
    <s v="Green"/>
    <x v="2"/>
    <x v="1"/>
    <n v="54.91"/>
    <n v="11"/>
    <n v="604.01"/>
    <s v="January"/>
  </r>
  <r>
    <s v="S811"/>
    <x v="137"/>
    <x v="4"/>
    <x v="2"/>
    <s v="Green"/>
    <x v="2"/>
    <x v="2"/>
    <n v="246.67"/>
    <n v="9"/>
    <n v="2220.0300000000002"/>
    <s v="August"/>
  </r>
  <r>
    <s v="S812"/>
    <x v="180"/>
    <x v="5"/>
    <x v="4"/>
    <s v="Blue"/>
    <x v="6"/>
    <x v="1"/>
    <n v="214.56"/>
    <n v="15"/>
    <n v="3218.4"/>
    <s v="September"/>
  </r>
  <r>
    <s v="S813"/>
    <x v="178"/>
    <x v="1"/>
    <x v="5"/>
    <s v="Black"/>
    <x v="4"/>
    <x v="2"/>
    <n v="57.43"/>
    <n v="6"/>
    <n v="344.58"/>
    <s v="February"/>
  </r>
  <r>
    <s v="S814"/>
    <x v="1"/>
    <x v="3"/>
    <x v="4"/>
    <s v="Green"/>
    <x v="2"/>
    <x v="0"/>
    <n v="232.59"/>
    <n v="18"/>
    <n v="4186.62"/>
    <s v="March"/>
  </r>
  <r>
    <s v="S815"/>
    <x v="59"/>
    <x v="2"/>
    <x v="0"/>
    <s v="Black"/>
    <x v="4"/>
    <x v="1"/>
    <n v="221.38"/>
    <n v="1"/>
    <n v="221.38"/>
    <s v="February"/>
  </r>
  <r>
    <s v="S816"/>
    <x v="197"/>
    <x v="2"/>
    <x v="2"/>
    <s v="Black"/>
    <x v="5"/>
    <x v="2"/>
    <n v="144.13999999999999"/>
    <n v="13"/>
    <n v="1873.82"/>
    <s v="October"/>
  </r>
  <r>
    <s v="S817"/>
    <x v="258"/>
    <x v="5"/>
    <x v="0"/>
    <s v="White"/>
    <x v="3"/>
    <x v="2"/>
    <n v="160.08000000000001"/>
    <n v="18"/>
    <n v="2881.44"/>
    <s v="October"/>
  </r>
  <r>
    <s v="S818"/>
    <x v="217"/>
    <x v="1"/>
    <x v="4"/>
    <s v="White"/>
    <x v="6"/>
    <x v="1"/>
    <n v="117.78"/>
    <n v="19"/>
    <n v="2237.8200000000002"/>
    <s v="April"/>
  </r>
  <r>
    <s v="S819"/>
    <x v="332"/>
    <x v="5"/>
    <x v="4"/>
    <s v="Grey"/>
    <x v="1"/>
    <x v="1"/>
    <n v="42.05"/>
    <n v="3"/>
    <n v="126.15"/>
    <s v="September"/>
  </r>
  <r>
    <s v="S820"/>
    <x v="219"/>
    <x v="1"/>
    <x v="2"/>
    <s v="Grey"/>
    <x v="0"/>
    <x v="2"/>
    <n v="103.74"/>
    <n v="20"/>
    <n v="2074.8000000000002"/>
    <s v="May"/>
  </r>
  <r>
    <s v="S821"/>
    <x v="5"/>
    <x v="2"/>
    <x v="5"/>
    <s v="Green"/>
    <x v="4"/>
    <x v="0"/>
    <n v="206.63"/>
    <n v="6"/>
    <n v="1239.78"/>
    <s v="March"/>
  </r>
  <r>
    <s v="S822"/>
    <x v="147"/>
    <x v="0"/>
    <x v="2"/>
    <s v="Red"/>
    <x v="0"/>
    <x v="0"/>
    <n v="31.02"/>
    <n v="12"/>
    <n v="372.24"/>
    <s v="September"/>
  </r>
  <r>
    <s v="S823"/>
    <x v="49"/>
    <x v="3"/>
    <x v="1"/>
    <s v="Green"/>
    <x v="0"/>
    <x v="1"/>
    <n v="103.37"/>
    <n v="12"/>
    <n v="1240.44"/>
    <s v="May"/>
  </r>
  <r>
    <s v="S824"/>
    <x v="280"/>
    <x v="5"/>
    <x v="3"/>
    <s v="Black"/>
    <x v="1"/>
    <x v="1"/>
    <n v="117.6"/>
    <n v="13"/>
    <n v="1528.8"/>
    <s v="July"/>
  </r>
  <r>
    <s v="S825"/>
    <x v="198"/>
    <x v="1"/>
    <x v="5"/>
    <s v="Green"/>
    <x v="4"/>
    <x v="2"/>
    <n v="148.22999999999999"/>
    <n v="4"/>
    <n v="592.91999999999996"/>
    <s v="June"/>
  </r>
  <r>
    <s v="S826"/>
    <x v="17"/>
    <x v="2"/>
    <x v="5"/>
    <s v="White"/>
    <x v="6"/>
    <x v="1"/>
    <n v="232.37"/>
    <n v="19"/>
    <n v="4415.03"/>
    <s v="May"/>
  </r>
  <r>
    <s v="S827"/>
    <x v="8"/>
    <x v="2"/>
    <x v="0"/>
    <s v="Black"/>
    <x v="5"/>
    <x v="2"/>
    <n v="106.2"/>
    <n v="12"/>
    <n v="1274.4000000000001"/>
    <s v="July"/>
  </r>
  <r>
    <s v="S828"/>
    <x v="257"/>
    <x v="2"/>
    <x v="3"/>
    <s v="Blue"/>
    <x v="4"/>
    <x v="2"/>
    <n v="106.33"/>
    <n v="8"/>
    <n v="850.64"/>
    <s v="July"/>
  </r>
  <r>
    <s v="S829"/>
    <x v="43"/>
    <x v="2"/>
    <x v="1"/>
    <s v="Grey"/>
    <x v="0"/>
    <x v="2"/>
    <n v="192.25"/>
    <n v="16"/>
    <n v="3076"/>
    <s v="September"/>
  </r>
  <r>
    <s v="S830"/>
    <x v="96"/>
    <x v="0"/>
    <x v="5"/>
    <s v="Green"/>
    <x v="3"/>
    <x v="0"/>
    <n v="129.49"/>
    <n v="8"/>
    <n v="1035.92"/>
    <s v="March"/>
  </r>
  <r>
    <s v="S831"/>
    <x v="132"/>
    <x v="3"/>
    <x v="4"/>
    <s v="Grey"/>
    <x v="2"/>
    <x v="0"/>
    <n v="79.41"/>
    <n v="6"/>
    <n v="476.46"/>
    <s v="March"/>
  </r>
  <r>
    <s v="S832"/>
    <x v="107"/>
    <x v="5"/>
    <x v="4"/>
    <s v="Green"/>
    <x v="1"/>
    <x v="2"/>
    <n v="129.54"/>
    <n v="8"/>
    <n v="1036.32"/>
    <s v="December"/>
  </r>
  <r>
    <s v="S833"/>
    <x v="151"/>
    <x v="5"/>
    <x v="2"/>
    <s v="Grey"/>
    <x v="0"/>
    <x v="1"/>
    <n v="60.99"/>
    <n v="16"/>
    <n v="975.84"/>
    <s v="December"/>
  </r>
  <r>
    <s v="S834"/>
    <x v="148"/>
    <x v="3"/>
    <x v="1"/>
    <s v="White"/>
    <x v="5"/>
    <x v="1"/>
    <n v="68.81"/>
    <n v="1"/>
    <n v="68.81"/>
    <s v="July"/>
  </r>
  <r>
    <s v="S835"/>
    <x v="216"/>
    <x v="1"/>
    <x v="5"/>
    <s v="Black"/>
    <x v="5"/>
    <x v="0"/>
    <n v="139.63999999999999"/>
    <n v="5"/>
    <n v="698.2"/>
    <s v="March"/>
  </r>
  <r>
    <s v="S836"/>
    <x v="269"/>
    <x v="4"/>
    <x v="2"/>
    <s v="Grey"/>
    <x v="6"/>
    <x v="1"/>
    <n v="122.16"/>
    <n v="6"/>
    <n v="732.96"/>
    <s v="January"/>
  </r>
  <r>
    <s v="S837"/>
    <x v="127"/>
    <x v="1"/>
    <x v="0"/>
    <s v="Green"/>
    <x v="4"/>
    <x v="2"/>
    <n v="231.27"/>
    <n v="1"/>
    <n v="231.27"/>
    <s v="October"/>
  </r>
  <r>
    <s v="S838"/>
    <x v="275"/>
    <x v="5"/>
    <x v="5"/>
    <s v="Red"/>
    <x v="4"/>
    <x v="2"/>
    <n v="109.73"/>
    <n v="7"/>
    <n v="768.11"/>
    <s v="February"/>
  </r>
  <r>
    <s v="S839"/>
    <x v="154"/>
    <x v="5"/>
    <x v="5"/>
    <s v="White"/>
    <x v="4"/>
    <x v="1"/>
    <n v="157.72999999999999"/>
    <n v="8"/>
    <n v="1261.8399999999999"/>
    <s v="March"/>
  </r>
  <r>
    <s v="S840"/>
    <x v="38"/>
    <x v="1"/>
    <x v="5"/>
    <s v="Blue"/>
    <x v="0"/>
    <x v="1"/>
    <n v="169.1"/>
    <n v="20"/>
    <n v="3382"/>
    <s v="April"/>
  </r>
  <r>
    <s v="S841"/>
    <x v="185"/>
    <x v="5"/>
    <x v="5"/>
    <s v="Grey"/>
    <x v="1"/>
    <x v="0"/>
    <n v="32.880000000000003"/>
    <n v="11"/>
    <n v="361.68"/>
    <s v="December"/>
  </r>
  <r>
    <s v="S842"/>
    <x v="8"/>
    <x v="3"/>
    <x v="1"/>
    <s v="Black"/>
    <x v="0"/>
    <x v="1"/>
    <n v="175.98"/>
    <n v="13"/>
    <n v="2287.7399999999998"/>
    <s v="July"/>
  </r>
  <r>
    <s v="S843"/>
    <x v="333"/>
    <x v="3"/>
    <x v="5"/>
    <s v="Black"/>
    <x v="0"/>
    <x v="2"/>
    <n v="69.17"/>
    <n v="14"/>
    <n v="968.38"/>
    <s v="September"/>
  </r>
  <r>
    <s v="S844"/>
    <x v="253"/>
    <x v="0"/>
    <x v="5"/>
    <s v="Grey"/>
    <x v="4"/>
    <x v="0"/>
    <n v="241.44"/>
    <n v="20"/>
    <n v="4828.8"/>
    <s v="November"/>
  </r>
  <r>
    <s v="S845"/>
    <x v="143"/>
    <x v="1"/>
    <x v="2"/>
    <s v="Grey"/>
    <x v="5"/>
    <x v="0"/>
    <n v="62.71"/>
    <n v="16"/>
    <n v="1003.36"/>
    <s v="February"/>
  </r>
  <r>
    <s v="S846"/>
    <x v="67"/>
    <x v="2"/>
    <x v="3"/>
    <s v="Blue"/>
    <x v="4"/>
    <x v="0"/>
    <n v="121.22"/>
    <n v="14"/>
    <n v="1697.08"/>
    <s v="December"/>
  </r>
  <r>
    <s v="S847"/>
    <x v="124"/>
    <x v="5"/>
    <x v="2"/>
    <s v="Red"/>
    <x v="4"/>
    <x v="2"/>
    <n v="48.78"/>
    <n v="17"/>
    <n v="829.26"/>
    <s v="December"/>
  </r>
  <r>
    <s v="S848"/>
    <x v="101"/>
    <x v="1"/>
    <x v="0"/>
    <s v="Grey"/>
    <x v="1"/>
    <x v="2"/>
    <n v="249.31"/>
    <n v="19"/>
    <n v="4736.8900000000003"/>
    <s v="June"/>
  </r>
  <r>
    <s v="S849"/>
    <x v="296"/>
    <x v="5"/>
    <x v="2"/>
    <s v="Black"/>
    <x v="3"/>
    <x v="1"/>
    <n v="140.47999999999999"/>
    <n v="9"/>
    <n v="1264.32"/>
    <s v="March"/>
  </r>
  <r>
    <s v="S850"/>
    <x v="258"/>
    <x v="4"/>
    <x v="2"/>
    <s v="Black"/>
    <x v="2"/>
    <x v="1"/>
    <n v="160.97999999999999"/>
    <n v="14"/>
    <n v="2253.7199999999998"/>
    <s v="October"/>
  </r>
  <r>
    <s v="S851"/>
    <x v="94"/>
    <x v="2"/>
    <x v="1"/>
    <s v="Grey"/>
    <x v="1"/>
    <x v="2"/>
    <n v="44.76"/>
    <n v="19"/>
    <n v="850.44"/>
    <s v="January"/>
  </r>
  <r>
    <s v="S852"/>
    <x v="208"/>
    <x v="1"/>
    <x v="4"/>
    <s v="Red"/>
    <x v="3"/>
    <x v="0"/>
    <n v="194.99"/>
    <n v="7"/>
    <n v="1364.93"/>
    <s v="December"/>
  </r>
  <r>
    <s v="S853"/>
    <x v="334"/>
    <x v="1"/>
    <x v="5"/>
    <s v="Blue"/>
    <x v="3"/>
    <x v="1"/>
    <n v="76.180000000000007"/>
    <n v="14"/>
    <n v="1066.52"/>
    <s v="March"/>
  </r>
  <r>
    <s v="S854"/>
    <x v="2"/>
    <x v="4"/>
    <x v="5"/>
    <s v="Blue"/>
    <x v="2"/>
    <x v="2"/>
    <n v="227.57"/>
    <n v="19"/>
    <n v="4323.83"/>
    <s v="August"/>
  </r>
  <r>
    <s v="S855"/>
    <x v="141"/>
    <x v="2"/>
    <x v="5"/>
    <s v="Red"/>
    <x v="0"/>
    <x v="2"/>
    <n v="75.13"/>
    <n v="14"/>
    <n v="1051.82"/>
    <s v="April"/>
  </r>
  <r>
    <s v="S856"/>
    <x v="62"/>
    <x v="5"/>
    <x v="4"/>
    <s v="Blue"/>
    <x v="5"/>
    <x v="2"/>
    <n v="71.95"/>
    <n v="18"/>
    <n v="1295.0999999999999"/>
    <s v="October"/>
  </r>
  <r>
    <s v="S857"/>
    <x v="218"/>
    <x v="1"/>
    <x v="2"/>
    <s v="Green"/>
    <x v="1"/>
    <x v="1"/>
    <n v="38.04"/>
    <n v="13"/>
    <n v="494.52"/>
    <s v="December"/>
  </r>
  <r>
    <s v="S858"/>
    <x v="335"/>
    <x v="1"/>
    <x v="2"/>
    <s v="Black"/>
    <x v="0"/>
    <x v="1"/>
    <n v="133.85"/>
    <n v="15"/>
    <n v="2007.75"/>
    <s v="April"/>
  </r>
  <r>
    <s v="S859"/>
    <x v="188"/>
    <x v="2"/>
    <x v="5"/>
    <s v="Green"/>
    <x v="2"/>
    <x v="1"/>
    <n v="154.27000000000001"/>
    <n v="11"/>
    <n v="1696.97"/>
    <s v="July"/>
  </r>
  <r>
    <s v="S860"/>
    <x v="126"/>
    <x v="5"/>
    <x v="0"/>
    <s v="Black"/>
    <x v="4"/>
    <x v="0"/>
    <n v="44.46"/>
    <n v="6"/>
    <n v="266.76"/>
    <s v="January"/>
  </r>
  <r>
    <s v="S861"/>
    <x v="153"/>
    <x v="2"/>
    <x v="3"/>
    <s v="Black"/>
    <x v="1"/>
    <x v="2"/>
    <n v="200.62"/>
    <n v="16"/>
    <n v="3209.92"/>
    <s v="March"/>
  </r>
  <r>
    <s v="S862"/>
    <x v="168"/>
    <x v="0"/>
    <x v="5"/>
    <s v="Black"/>
    <x v="2"/>
    <x v="2"/>
    <n v="129.72"/>
    <n v="12"/>
    <n v="1556.64"/>
    <s v="April"/>
  </r>
  <r>
    <s v="S863"/>
    <x v="188"/>
    <x v="1"/>
    <x v="5"/>
    <s v="Blue"/>
    <x v="2"/>
    <x v="1"/>
    <n v="145.37"/>
    <n v="20"/>
    <n v="2907.4"/>
    <s v="July"/>
  </r>
  <r>
    <s v="S864"/>
    <x v="317"/>
    <x v="1"/>
    <x v="3"/>
    <s v="Red"/>
    <x v="1"/>
    <x v="0"/>
    <n v="126.97"/>
    <n v="6"/>
    <n v="761.82"/>
    <s v="January"/>
  </r>
  <r>
    <s v="S865"/>
    <x v="139"/>
    <x v="4"/>
    <x v="2"/>
    <s v="Black"/>
    <x v="4"/>
    <x v="1"/>
    <n v="118.17"/>
    <n v="17"/>
    <n v="2008.89"/>
    <s v="December"/>
  </r>
  <r>
    <s v="S866"/>
    <x v="332"/>
    <x v="1"/>
    <x v="2"/>
    <s v="Grey"/>
    <x v="0"/>
    <x v="1"/>
    <n v="153.12"/>
    <n v="17"/>
    <n v="2603.04"/>
    <s v="September"/>
  </r>
  <r>
    <s v="S867"/>
    <x v="319"/>
    <x v="3"/>
    <x v="0"/>
    <s v="Black"/>
    <x v="0"/>
    <x v="0"/>
    <n v="64.150000000000006"/>
    <n v="12"/>
    <n v="769.8"/>
    <s v="January"/>
  </r>
  <r>
    <s v="S868"/>
    <x v="173"/>
    <x v="4"/>
    <x v="0"/>
    <s v="Red"/>
    <x v="6"/>
    <x v="1"/>
    <n v="70.02"/>
    <n v="13"/>
    <n v="910.26"/>
    <s v="May"/>
  </r>
  <r>
    <s v="S869"/>
    <x v="227"/>
    <x v="0"/>
    <x v="0"/>
    <s v="Green"/>
    <x v="1"/>
    <x v="0"/>
    <n v="219.59"/>
    <n v="17"/>
    <n v="3733.03"/>
    <s v="April"/>
  </r>
  <r>
    <s v="S870"/>
    <x v="238"/>
    <x v="1"/>
    <x v="5"/>
    <s v="Grey"/>
    <x v="3"/>
    <x v="2"/>
    <n v="238.15"/>
    <n v="10"/>
    <n v="2381.5"/>
    <s v="October"/>
  </r>
  <r>
    <s v="S871"/>
    <x v="173"/>
    <x v="2"/>
    <x v="2"/>
    <s v="Red"/>
    <x v="6"/>
    <x v="1"/>
    <n v="112.13"/>
    <n v="8"/>
    <n v="897.04"/>
    <s v="May"/>
  </r>
  <r>
    <s v="S872"/>
    <x v="247"/>
    <x v="3"/>
    <x v="3"/>
    <s v="Grey"/>
    <x v="1"/>
    <x v="1"/>
    <n v="89.56"/>
    <n v="9"/>
    <n v="806.04"/>
    <s v="January"/>
  </r>
  <r>
    <s v="S873"/>
    <x v="50"/>
    <x v="4"/>
    <x v="4"/>
    <s v="Black"/>
    <x v="4"/>
    <x v="1"/>
    <n v="171.68"/>
    <n v="17"/>
    <n v="2918.56"/>
    <s v="February"/>
  </r>
  <r>
    <s v="S874"/>
    <x v="163"/>
    <x v="2"/>
    <x v="4"/>
    <s v="Green"/>
    <x v="6"/>
    <x v="2"/>
    <n v="119.92"/>
    <n v="18"/>
    <n v="2158.56"/>
    <s v="May"/>
  </r>
  <r>
    <s v="S875"/>
    <x v="127"/>
    <x v="3"/>
    <x v="4"/>
    <s v="Red"/>
    <x v="2"/>
    <x v="2"/>
    <n v="35.58"/>
    <n v="16"/>
    <n v="569.28"/>
    <s v="October"/>
  </r>
  <r>
    <s v="S876"/>
    <x v="135"/>
    <x v="5"/>
    <x v="1"/>
    <s v="Blue"/>
    <x v="1"/>
    <x v="2"/>
    <n v="64.349999999999994"/>
    <n v="1"/>
    <n v="64.349999999999994"/>
    <s v="October"/>
  </r>
  <r>
    <s v="S877"/>
    <x v="79"/>
    <x v="1"/>
    <x v="0"/>
    <s v="White"/>
    <x v="4"/>
    <x v="2"/>
    <n v="187.51"/>
    <n v="8"/>
    <n v="1500.08"/>
    <s v="November"/>
  </r>
  <r>
    <s v="S878"/>
    <x v="184"/>
    <x v="2"/>
    <x v="5"/>
    <s v="Black"/>
    <x v="2"/>
    <x v="2"/>
    <n v="174.96"/>
    <n v="12"/>
    <n v="2099.52"/>
    <s v="July"/>
  </r>
  <r>
    <s v="S879"/>
    <x v="37"/>
    <x v="0"/>
    <x v="3"/>
    <s v="Green"/>
    <x v="2"/>
    <x v="2"/>
    <n v="35.96"/>
    <n v="10"/>
    <n v="359.6"/>
    <s v="May"/>
  </r>
  <r>
    <s v="S880"/>
    <x v="59"/>
    <x v="3"/>
    <x v="3"/>
    <s v="Blue"/>
    <x v="3"/>
    <x v="0"/>
    <n v="78.83"/>
    <n v="18"/>
    <n v="1418.94"/>
    <s v="February"/>
  </r>
  <r>
    <s v="S881"/>
    <x v="125"/>
    <x v="3"/>
    <x v="0"/>
    <s v="Green"/>
    <x v="0"/>
    <x v="2"/>
    <n v="80.84"/>
    <n v="9"/>
    <n v="727.56"/>
    <s v="October"/>
  </r>
  <r>
    <s v="S882"/>
    <x v="227"/>
    <x v="1"/>
    <x v="2"/>
    <s v="Blue"/>
    <x v="0"/>
    <x v="0"/>
    <n v="177.82"/>
    <n v="8"/>
    <n v="1422.56"/>
    <s v="April"/>
  </r>
  <r>
    <s v="S883"/>
    <x v="298"/>
    <x v="2"/>
    <x v="4"/>
    <s v="White"/>
    <x v="4"/>
    <x v="0"/>
    <n v="34.340000000000003"/>
    <n v="8"/>
    <n v="274.72000000000003"/>
    <s v="April"/>
  </r>
  <r>
    <s v="S884"/>
    <x v="336"/>
    <x v="1"/>
    <x v="0"/>
    <s v="Red"/>
    <x v="5"/>
    <x v="0"/>
    <n v="52.9"/>
    <n v="3"/>
    <n v="158.69999999999999"/>
    <s v="March"/>
  </r>
  <r>
    <s v="S885"/>
    <x v="44"/>
    <x v="5"/>
    <x v="4"/>
    <s v="Grey"/>
    <x v="3"/>
    <x v="2"/>
    <n v="205.98"/>
    <n v="2"/>
    <n v="411.96"/>
    <s v="October"/>
  </r>
  <r>
    <s v="S886"/>
    <x v="260"/>
    <x v="5"/>
    <x v="2"/>
    <s v="Grey"/>
    <x v="3"/>
    <x v="2"/>
    <n v="69.28"/>
    <n v="9"/>
    <n v="623.52"/>
    <s v="October"/>
  </r>
  <r>
    <s v="S887"/>
    <x v="168"/>
    <x v="3"/>
    <x v="1"/>
    <s v="Grey"/>
    <x v="4"/>
    <x v="2"/>
    <n v="173.6"/>
    <n v="19"/>
    <n v="3298.4"/>
    <s v="April"/>
  </r>
  <r>
    <s v="S888"/>
    <x v="45"/>
    <x v="0"/>
    <x v="5"/>
    <s v="Blue"/>
    <x v="6"/>
    <x v="1"/>
    <n v="82.4"/>
    <n v="18"/>
    <n v="1483.2"/>
    <s v="September"/>
  </r>
  <r>
    <s v="S889"/>
    <x v="75"/>
    <x v="0"/>
    <x v="0"/>
    <s v="Grey"/>
    <x v="6"/>
    <x v="2"/>
    <n v="51.88"/>
    <n v="15"/>
    <n v="778.2"/>
    <s v="March"/>
  </r>
  <r>
    <s v="S890"/>
    <x v="83"/>
    <x v="0"/>
    <x v="0"/>
    <s v="White"/>
    <x v="6"/>
    <x v="1"/>
    <n v="83.5"/>
    <n v="1"/>
    <n v="83.5"/>
    <s v="December"/>
  </r>
  <r>
    <s v="S891"/>
    <x v="210"/>
    <x v="4"/>
    <x v="5"/>
    <s v="Blue"/>
    <x v="0"/>
    <x v="1"/>
    <n v="188.9"/>
    <n v="11"/>
    <n v="2077.9"/>
    <s v="February"/>
  </r>
  <r>
    <s v="S892"/>
    <x v="17"/>
    <x v="4"/>
    <x v="3"/>
    <s v="Grey"/>
    <x v="3"/>
    <x v="2"/>
    <n v="218.25"/>
    <n v="8"/>
    <n v="1746"/>
    <s v="May"/>
  </r>
  <r>
    <s v="S893"/>
    <x v="120"/>
    <x v="5"/>
    <x v="2"/>
    <s v="Red"/>
    <x v="2"/>
    <x v="2"/>
    <n v="212.65"/>
    <n v="16"/>
    <n v="3402.4"/>
    <s v="April"/>
  </r>
  <r>
    <s v="S894"/>
    <x v="213"/>
    <x v="4"/>
    <x v="3"/>
    <s v="White"/>
    <x v="5"/>
    <x v="0"/>
    <n v="117.38"/>
    <n v="13"/>
    <n v="1525.94"/>
    <s v="July"/>
  </r>
  <r>
    <s v="S895"/>
    <x v="260"/>
    <x v="0"/>
    <x v="0"/>
    <s v="Blue"/>
    <x v="4"/>
    <x v="0"/>
    <n v="176.98"/>
    <n v="8"/>
    <n v="1415.84"/>
    <s v="October"/>
  </r>
  <r>
    <s v="S896"/>
    <x v="327"/>
    <x v="5"/>
    <x v="2"/>
    <s v="White"/>
    <x v="4"/>
    <x v="1"/>
    <n v="75.099999999999994"/>
    <n v="14"/>
    <n v="1051.4000000000001"/>
    <s v="October"/>
  </r>
  <r>
    <s v="S897"/>
    <x v="132"/>
    <x v="0"/>
    <x v="2"/>
    <s v="Red"/>
    <x v="6"/>
    <x v="0"/>
    <n v="94.49"/>
    <n v="16"/>
    <n v="1511.84"/>
    <s v="March"/>
  </r>
  <r>
    <s v="S898"/>
    <x v="301"/>
    <x v="2"/>
    <x v="0"/>
    <s v="Blue"/>
    <x v="4"/>
    <x v="2"/>
    <n v="227.19"/>
    <n v="17"/>
    <n v="3862.23"/>
    <s v="November"/>
  </r>
  <r>
    <s v="S899"/>
    <x v="157"/>
    <x v="2"/>
    <x v="5"/>
    <s v="Black"/>
    <x v="6"/>
    <x v="0"/>
    <n v="32.86"/>
    <n v="9"/>
    <n v="295.74"/>
    <s v="June"/>
  </r>
  <r>
    <s v="S900"/>
    <x v="29"/>
    <x v="0"/>
    <x v="2"/>
    <s v="Blue"/>
    <x v="6"/>
    <x v="1"/>
    <n v="48.81"/>
    <n v="6"/>
    <n v="292.86"/>
    <s v="December"/>
  </r>
  <r>
    <s v="S901"/>
    <x v="35"/>
    <x v="1"/>
    <x v="4"/>
    <s v="Blue"/>
    <x v="3"/>
    <x v="2"/>
    <n v="75.73"/>
    <n v="15"/>
    <n v="1135.95"/>
    <s v="February"/>
  </r>
  <r>
    <s v="S902"/>
    <x v="62"/>
    <x v="4"/>
    <x v="4"/>
    <s v="Black"/>
    <x v="6"/>
    <x v="0"/>
    <n v="35.840000000000003"/>
    <n v="18"/>
    <n v="645.12"/>
    <s v="October"/>
  </r>
  <r>
    <s v="S903"/>
    <x v="101"/>
    <x v="3"/>
    <x v="5"/>
    <s v="Grey"/>
    <x v="2"/>
    <x v="1"/>
    <n v="69.92"/>
    <n v="20"/>
    <n v="1398.4"/>
    <s v="June"/>
  </r>
  <r>
    <s v="S904"/>
    <x v="71"/>
    <x v="4"/>
    <x v="4"/>
    <s v="Blue"/>
    <x v="2"/>
    <x v="1"/>
    <n v="158.27000000000001"/>
    <n v="6"/>
    <n v="949.62"/>
    <s v="October"/>
  </r>
  <r>
    <s v="S905"/>
    <x v="43"/>
    <x v="0"/>
    <x v="3"/>
    <s v="Grey"/>
    <x v="3"/>
    <x v="2"/>
    <n v="122.71"/>
    <n v="15"/>
    <n v="1840.65"/>
    <s v="September"/>
  </r>
  <r>
    <s v="S906"/>
    <x v="199"/>
    <x v="3"/>
    <x v="0"/>
    <s v="Blue"/>
    <x v="6"/>
    <x v="1"/>
    <n v="226.39"/>
    <n v="5"/>
    <n v="1131.95"/>
    <s v="November"/>
  </r>
  <r>
    <s v="S907"/>
    <x v="325"/>
    <x v="5"/>
    <x v="1"/>
    <s v="Black"/>
    <x v="0"/>
    <x v="2"/>
    <n v="209.84"/>
    <n v="19"/>
    <n v="3986.96"/>
    <s v="November"/>
  </r>
  <r>
    <s v="S908"/>
    <x v="65"/>
    <x v="4"/>
    <x v="0"/>
    <s v="Blue"/>
    <x v="2"/>
    <x v="2"/>
    <n v="105.2"/>
    <n v="11"/>
    <n v="1157.2"/>
    <s v="April"/>
  </r>
  <r>
    <s v="S909"/>
    <x v="7"/>
    <x v="4"/>
    <x v="3"/>
    <s v="Blue"/>
    <x v="2"/>
    <x v="1"/>
    <n v="87.07"/>
    <n v="13"/>
    <n v="1131.9100000000001"/>
    <s v="November"/>
  </r>
  <r>
    <s v="S910"/>
    <x v="282"/>
    <x v="5"/>
    <x v="2"/>
    <s v="White"/>
    <x v="4"/>
    <x v="0"/>
    <n v="113.53"/>
    <n v="15"/>
    <n v="1702.95"/>
    <s v="September"/>
  </r>
  <r>
    <s v="S911"/>
    <x v="27"/>
    <x v="1"/>
    <x v="4"/>
    <s v="Green"/>
    <x v="2"/>
    <x v="1"/>
    <n v="159.86000000000001"/>
    <n v="8"/>
    <n v="1278.8800000000001"/>
    <s v="March"/>
  </r>
  <r>
    <s v="S912"/>
    <x v="26"/>
    <x v="3"/>
    <x v="3"/>
    <s v="Black"/>
    <x v="1"/>
    <x v="0"/>
    <n v="88.97"/>
    <n v="7"/>
    <n v="622.79"/>
    <s v="February"/>
  </r>
  <r>
    <s v="S913"/>
    <x v="78"/>
    <x v="0"/>
    <x v="1"/>
    <s v="Red"/>
    <x v="5"/>
    <x v="0"/>
    <n v="167.31"/>
    <n v="18"/>
    <n v="3011.58"/>
    <s v="August"/>
  </r>
  <r>
    <s v="S914"/>
    <x v="321"/>
    <x v="2"/>
    <x v="2"/>
    <s v="Black"/>
    <x v="2"/>
    <x v="2"/>
    <n v="120.07"/>
    <n v="9"/>
    <n v="1080.6300000000001"/>
    <s v="February"/>
  </r>
  <r>
    <s v="S915"/>
    <x v="73"/>
    <x v="3"/>
    <x v="0"/>
    <s v="Blue"/>
    <x v="6"/>
    <x v="1"/>
    <n v="151.44999999999999"/>
    <n v="8"/>
    <n v="1211.5999999999999"/>
    <s v="June"/>
  </r>
  <r>
    <s v="S916"/>
    <x v="27"/>
    <x v="2"/>
    <x v="2"/>
    <s v="Black"/>
    <x v="1"/>
    <x v="1"/>
    <n v="125.95"/>
    <n v="5"/>
    <n v="629.75"/>
    <s v="March"/>
  </r>
  <r>
    <s v="S917"/>
    <x v="273"/>
    <x v="5"/>
    <x v="3"/>
    <s v="Grey"/>
    <x v="3"/>
    <x v="1"/>
    <n v="94.78"/>
    <n v="11"/>
    <n v="1042.58"/>
    <s v="July"/>
  </r>
  <r>
    <s v="S918"/>
    <x v="181"/>
    <x v="1"/>
    <x v="5"/>
    <s v="White"/>
    <x v="5"/>
    <x v="1"/>
    <n v="238.66"/>
    <n v="5"/>
    <n v="1193.3"/>
    <s v="August"/>
  </r>
  <r>
    <s v="S919"/>
    <x v="85"/>
    <x v="5"/>
    <x v="5"/>
    <s v="Green"/>
    <x v="2"/>
    <x v="1"/>
    <n v="197.99"/>
    <n v="19"/>
    <n v="3761.81"/>
    <s v="August"/>
  </r>
  <r>
    <s v="S920"/>
    <x v="73"/>
    <x v="5"/>
    <x v="5"/>
    <s v="White"/>
    <x v="4"/>
    <x v="0"/>
    <n v="60.82"/>
    <n v="12"/>
    <n v="729.84"/>
    <s v="June"/>
  </r>
  <r>
    <s v="S921"/>
    <x v="58"/>
    <x v="4"/>
    <x v="3"/>
    <s v="Blue"/>
    <x v="0"/>
    <x v="2"/>
    <n v="221.06"/>
    <n v="10"/>
    <n v="2210.6"/>
    <s v="August"/>
  </r>
  <r>
    <s v="S922"/>
    <x v="114"/>
    <x v="2"/>
    <x v="2"/>
    <s v="Blue"/>
    <x v="3"/>
    <x v="2"/>
    <n v="137.22999999999999"/>
    <n v="1"/>
    <n v="137.22999999999999"/>
    <s v="January"/>
  </r>
  <r>
    <s v="S923"/>
    <x v="123"/>
    <x v="1"/>
    <x v="3"/>
    <s v="Red"/>
    <x v="3"/>
    <x v="0"/>
    <n v="226.8"/>
    <n v="1"/>
    <n v="226.8"/>
    <s v="October"/>
  </r>
  <r>
    <s v="S924"/>
    <x v="223"/>
    <x v="2"/>
    <x v="2"/>
    <s v="Black"/>
    <x v="5"/>
    <x v="2"/>
    <n v="205.97"/>
    <n v="10"/>
    <n v="2059.6999999999998"/>
    <s v="August"/>
  </r>
  <r>
    <s v="S925"/>
    <x v="311"/>
    <x v="2"/>
    <x v="3"/>
    <s v="Red"/>
    <x v="0"/>
    <x v="0"/>
    <n v="123.55"/>
    <n v="14"/>
    <n v="1729.7"/>
    <s v="April"/>
  </r>
  <r>
    <s v="S926"/>
    <x v="203"/>
    <x v="5"/>
    <x v="2"/>
    <s v="Blue"/>
    <x v="1"/>
    <x v="2"/>
    <n v="34.94"/>
    <n v="13"/>
    <n v="454.22"/>
    <s v="November"/>
  </r>
  <r>
    <s v="S927"/>
    <x v="262"/>
    <x v="2"/>
    <x v="5"/>
    <s v="Green"/>
    <x v="2"/>
    <x v="2"/>
    <n v="89.11"/>
    <n v="8"/>
    <n v="712.88"/>
    <s v="November"/>
  </r>
  <r>
    <s v="S928"/>
    <x v="289"/>
    <x v="4"/>
    <x v="3"/>
    <s v="White"/>
    <x v="4"/>
    <x v="0"/>
    <n v="149.16"/>
    <n v="18"/>
    <n v="2684.88"/>
    <s v="May"/>
  </r>
  <r>
    <s v="S929"/>
    <x v="38"/>
    <x v="4"/>
    <x v="1"/>
    <s v="Green"/>
    <x v="6"/>
    <x v="1"/>
    <n v="169.37"/>
    <n v="5"/>
    <n v="846.85"/>
    <s v="April"/>
  </r>
  <r>
    <s v="S930"/>
    <x v="337"/>
    <x v="1"/>
    <x v="5"/>
    <s v="Red"/>
    <x v="0"/>
    <x v="2"/>
    <n v="86.74"/>
    <n v="9"/>
    <n v="780.66"/>
    <s v="August"/>
  </r>
  <r>
    <s v="S931"/>
    <x v="193"/>
    <x v="0"/>
    <x v="5"/>
    <s v="Black"/>
    <x v="0"/>
    <x v="0"/>
    <n v="60.66"/>
    <n v="5"/>
    <n v="303.3"/>
    <s v="January"/>
  </r>
  <r>
    <s v="S932"/>
    <x v="338"/>
    <x v="3"/>
    <x v="0"/>
    <s v="Red"/>
    <x v="2"/>
    <x v="0"/>
    <n v="213.68"/>
    <n v="9"/>
    <n v="1923.12"/>
    <s v="May"/>
  </r>
  <r>
    <s v="S933"/>
    <x v="167"/>
    <x v="3"/>
    <x v="1"/>
    <s v="Red"/>
    <x v="0"/>
    <x v="2"/>
    <n v="246.57"/>
    <n v="3"/>
    <n v="739.71"/>
    <s v="April"/>
  </r>
  <r>
    <s v="S934"/>
    <x v="108"/>
    <x v="5"/>
    <x v="4"/>
    <s v="Red"/>
    <x v="2"/>
    <x v="0"/>
    <n v="145.65"/>
    <n v="10"/>
    <n v="1456.5"/>
    <s v="August"/>
  </r>
  <r>
    <s v="S935"/>
    <x v="92"/>
    <x v="3"/>
    <x v="1"/>
    <s v="Blue"/>
    <x v="4"/>
    <x v="2"/>
    <n v="67.77"/>
    <n v="3"/>
    <n v="203.31"/>
    <s v="June"/>
  </r>
  <r>
    <s v="S936"/>
    <x v="287"/>
    <x v="5"/>
    <x v="2"/>
    <s v="White"/>
    <x v="4"/>
    <x v="2"/>
    <n v="89.91"/>
    <n v="18"/>
    <n v="1618.38"/>
    <s v="February"/>
  </r>
  <r>
    <s v="S937"/>
    <x v="20"/>
    <x v="0"/>
    <x v="0"/>
    <s v="White"/>
    <x v="6"/>
    <x v="2"/>
    <n v="34.049999999999997"/>
    <n v="1"/>
    <n v="34.049999999999997"/>
    <s v="July"/>
  </r>
  <r>
    <s v="S938"/>
    <x v="102"/>
    <x v="3"/>
    <x v="3"/>
    <s v="Green"/>
    <x v="4"/>
    <x v="0"/>
    <n v="231.15"/>
    <n v="2"/>
    <n v="462.3"/>
    <s v="May"/>
  </r>
  <r>
    <s v="S939"/>
    <x v="282"/>
    <x v="5"/>
    <x v="3"/>
    <s v="Green"/>
    <x v="3"/>
    <x v="2"/>
    <n v="55.91"/>
    <n v="7"/>
    <n v="391.37"/>
    <s v="September"/>
  </r>
  <r>
    <s v="S940"/>
    <x v="5"/>
    <x v="1"/>
    <x v="5"/>
    <s v="Grey"/>
    <x v="1"/>
    <x v="2"/>
    <n v="156.83000000000001"/>
    <n v="2"/>
    <n v="313.66000000000003"/>
    <s v="March"/>
  </r>
  <r>
    <s v="S941"/>
    <x v="315"/>
    <x v="3"/>
    <x v="4"/>
    <s v="Black"/>
    <x v="4"/>
    <x v="1"/>
    <n v="90.29"/>
    <n v="10"/>
    <n v="902.9"/>
    <s v="September"/>
  </r>
  <r>
    <s v="S942"/>
    <x v="314"/>
    <x v="3"/>
    <x v="0"/>
    <s v="Red"/>
    <x v="3"/>
    <x v="0"/>
    <n v="151.91999999999999"/>
    <n v="4"/>
    <n v="607.67999999999995"/>
    <s v="April"/>
  </r>
  <r>
    <s v="S943"/>
    <x v="40"/>
    <x v="2"/>
    <x v="1"/>
    <s v="Red"/>
    <x v="4"/>
    <x v="0"/>
    <n v="173.31"/>
    <n v="9"/>
    <n v="1559.79"/>
    <s v="March"/>
  </r>
  <r>
    <s v="S944"/>
    <x v="323"/>
    <x v="2"/>
    <x v="0"/>
    <s v="Red"/>
    <x v="2"/>
    <x v="1"/>
    <n v="212.54"/>
    <n v="2"/>
    <n v="425.08"/>
    <s v="January"/>
  </r>
  <r>
    <s v="S945"/>
    <x v="334"/>
    <x v="0"/>
    <x v="2"/>
    <s v="White"/>
    <x v="6"/>
    <x v="0"/>
    <n v="75.41"/>
    <n v="12"/>
    <n v="904.92"/>
    <s v="March"/>
  </r>
  <r>
    <s v="S946"/>
    <x v="185"/>
    <x v="4"/>
    <x v="0"/>
    <s v="Black"/>
    <x v="1"/>
    <x v="2"/>
    <n v="32.42"/>
    <n v="20"/>
    <n v="648.4"/>
    <s v="December"/>
  </r>
  <r>
    <s v="S947"/>
    <x v="203"/>
    <x v="1"/>
    <x v="5"/>
    <s v="Black"/>
    <x v="0"/>
    <x v="2"/>
    <n v="60.11"/>
    <n v="5"/>
    <n v="300.55"/>
    <s v="November"/>
  </r>
  <r>
    <s v="S948"/>
    <x v="167"/>
    <x v="2"/>
    <x v="0"/>
    <s v="Blue"/>
    <x v="4"/>
    <x v="2"/>
    <n v="228"/>
    <n v="11"/>
    <n v="2508"/>
    <s v="April"/>
  </r>
  <r>
    <s v="S949"/>
    <x v="119"/>
    <x v="1"/>
    <x v="3"/>
    <s v="Blue"/>
    <x v="2"/>
    <x v="0"/>
    <n v="222.26"/>
    <n v="1"/>
    <n v="222.26"/>
    <s v="April"/>
  </r>
  <r>
    <s v="S950"/>
    <x v="56"/>
    <x v="5"/>
    <x v="0"/>
    <s v="Red"/>
    <x v="5"/>
    <x v="2"/>
    <n v="161.43"/>
    <n v="2"/>
    <n v="322.86"/>
    <s v="May"/>
  </r>
  <r>
    <s v="S951"/>
    <x v="44"/>
    <x v="3"/>
    <x v="5"/>
    <s v="White"/>
    <x v="5"/>
    <x v="2"/>
    <n v="162.11000000000001"/>
    <n v="16"/>
    <n v="2593.7600000000002"/>
    <s v="October"/>
  </r>
  <r>
    <s v="S952"/>
    <x v="198"/>
    <x v="4"/>
    <x v="5"/>
    <s v="Grey"/>
    <x v="0"/>
    <x v="0"/>
    <n v="176.31"/>
    <n v="15"/>
    <n v="2644.65"/>
    <s v="June"/>
  </r>
  <r>
    <s v="S953"/>
    <x v="189"/>
    <x v="5"/>
    <x v="4"/>
    <s v="Blue"/>
    <x v="5"/>
    <x v="2"/>
    <n v="68.58"/>
    <n v="5"/>
    <n v="342.9"/>
    <s v="September"/>
  </r>
  <r>
    <s v="S954"/>
    <x v="131"/>
    <x v="1"/>
    <x v="5"/>
    <s v="Red"/>
    <x v="2"/>
    <x v="0"/>
    <n v="231.17"/>
    <n v="1"/>
    <n v="231.17"/>
    <s v="August"/>
  </r>
  <r>
    <s v="S955"/>
    <x v="193"/>
    <x v="4"/>
    <x v="5"/>
    <s v="White"/>
    <x v="3"/>
    <x v="1"/>
    <n v="122.13"/>
    <n v="20"/>
    <n v="2442.6"/>
    <s v="January"/>
  </r>
  <r>
    <s v="S956"/>
    <x v="31"/>
    <x v="5"/>
    <x v="2"/>
    <s v="Grey"/>
    <x v="2"/>
    <x v="2"/>
    <n v="114.29"/>
    <n v="18"/>
    <n v="2057.2199999999998"/>
    <s v="February"/>
  </r>
  <r>
    <s v="S957"/>
    <x v="339"/>
    <x v="2"/>
    <x v="4"/>
    <s v="Blue"/>
    <x v="6"/>
    <x v="1"/>
    <n v="144.16"/>
    <n v="5"/>
    <n v="720.8"/>
    <s v="October"/>
  </r>
  <r>
    <s v="S958"/>
    <x v="77"/>
    <x v="0"/>
    <x v="5"/>
    <s v="Green"/>
    <x v="1"/>
    <x v="0"/>
    <n v="40.33"/>
    <n v="4"/>
    <n v="161.32"/>
    <s v="June"/>
  </r>
  <r>
    <s v="S959"/>
    <x v="176"/>
    <x v="0"/>
    <x v="2"/>
    <s v="Black"/>
    <x v="6"/>
    <x v="0"/>
    <n v="66.58"/>
    <n v="6"/>
    <n v="399.48"/>
    <s v="March"/>
  </r>
  <r>
    <s v="S960"/>
    <x v="39"/>
    <x v="2"/>
    <x v="0"/>
    <s v="Red"/>
    <x v="2"/>
    <x v="2"/>
    <n v="192.37"/>
    <n v="2"/>
    <n v="384.74"/>
    <s v="February"/>
  </r>
  <r>
    <s v="S961"/>
    <x v="255"/>
    <x v="1"/>
    <x v="5"/>
    <s v="Blue"/>
    <x v="1"/>
    <x v="2"/>
    <n v="48.22"/>
    <n v="20"/>
    <n v="964.4"/>
    <s v="September"/>
  </r>
  <r>
    <s v="S962"/>
    <x v="168"/>
    <x v="1"/>
    <x v="1"/>
    <s v="Black"/>
    <x v="0"/>
    <x v="1"/>
    <n v="162.69"/>
    <n v="20"/>
    <n v="3253.8"/>
    <s v="April"/>
  </r>
  <r>
    <s v="S963"/>
    <x v="116"/>
    <x v="5"/>
    <x v="0"/>
    <s v="Black"/>
    <x v="3"/>
    <x v="1"/>
    <n v="83.98"/>
    <n v="3"/>
    <n v="251.94"/>
    <s v="September"/>
  </r>
  <r>
    <s v="S964"/>
    <x v="172"/>
    <x v="1"/>
    <x v="1"/>
    <s v="Grey"/>
    <x v="3"/>
    <x v="1"/>
    <n v="115.65"/>
    <n v="12"/>
    <n v="1387.8"/>
    <s v="August"/>
  </r>
  <r>
    <s v="S965"/>
    <x v="300"/>
    <x v="4"/>
    <x v="1"/>
    <s v="White"/>
    <x v="5"/>
    <x v="0"/>
    <n v="93.51"/>
    <n v="3"/>
    <n v="280.52999999999997"/>
    <s v="January"/>
  </r>
  <r>
    <s v="S966"/>
    <x v="210"/>
    <x v="2"/>
    <x v="3"/>
    <s v="White"/>
    <x v="0"/>
    <x v="1"/>
    <n v="108.25"/>
    <n v="8"/>
    <n v="866"/>
    <s v="February"/>
  </r>
  <r>
    <s v="S967"/>
    <x v="139"/>
    <x v="2"/>
    <x v="0"/>
    <s v="White"/>
    <x v="5"/>
    <x v="1"/>
    <n v="188.19"/>
    <n v="8"/>
    <n v="1505.52"/>
    <s v="December"/>
  </r>
  <r>
    <s v="S968"/>
    <x v="14"/>
    <x v="1"/>
    <x v="1"/>
    <s v="Green"/>
    <x v="5"/>
    <x v="2"/>
    <n v="95.37"/>
    <n v="14"/>
    <n v="1335.18"/>
    <s v="October"/>
  </r>
  <r>
    <s v="S969"/>
    <x v="151"/>
    <x v="1"/>
    <x v="0"/>
    <s v="Red"/>
    <x v="1"/>
    <x v="0"/>
    <n v="154.61000000000001"/>
    <n v="15"/>
    <n v="2319.15"/>
    <s v="December"/>
  </r>
  <r>
    <s v="S970"/>
    <x v="212"/>
    <x v="5"/>
    <x v="5"/>
    <s v="Blue"/>
    <x v="2"/>
    <x v="0"/>
    <n v="134.72999999999999"/>
    <n v="18"/>
    <n v="2425.14"/>
    <s v="April"/>
  </r>
  <r>
    <s v="S971"/>
    <x v="123"/>
    <x v="5"/>
    <x v="4"/>
    <s v="Blue"/>
    <x v="5"/>
    <x v="2"/>
    <n v="176.01"/>
    <n v="20"/>
    <n v="3520.2"/>
    <s v="October"/>
  </r>
  <r>
    <s v="S972"/>
    <x v="295"/>
    <x v="1"/>
    <x v="3"/>
    <s v="Green"/>
    <x v="3"/>
    <x v="1"/>
    <n v="236.1"/>
    <n v="14"/>
    <n v="3305.4"/>
    <s v="July"/>
  </r>
  <r>
    <s v="S973"/>
    <x v="155"/>
    <x v="2"/>
    <x v="2"/>
    <s v="Red"/>
    <x v="4"/>
    <x v="1"/>
    <n v="191.17"/>
    <n v="19"/>
    <n v="3632.23"/>
    <s v="May"/>
  </r>
  <r>
    <s v="S974"/>
    <x v="156"/>
    <x v="5"/>
    <x v="3"/>
    <s v="Red"/>
    <x v="1"/>
    <x v="1"/>
    <n v="77.290000000000006"/>
    <n v="12"/>
    <n v="927.48"/>
    <s v="May"/>
  </r>
  <r>
    <s v="S975"/>
    <x v="308"/>
    <x v="2"/>
    <x v="1"/>
    <s v="Grey"/>
    <x v="0"/>
    <x v="2"/>
    <n v="36.86"/>
    <n v="10"/>
    <n v="368.6"/>
    <s v="January"/>
  </r>
  <r>
    <s v="S976"/>
    <x v="94"/>
    <x v="3"/>
    <x v="2"/>
    <s v="Blue"/>
    <x v="1"/>
    <x v="1"/>
    <n v="87.7"/>
    <n v="10"/>
    <n v="877"/>
    <s v="January"/>
  </r>
  <r>
    <s v="S977"/>
    <x v="173"/>
    <x v="2"/>
    <x v="5"/>
    <s v="Grey"/>
    <x v="5"/>
    <x v="0"/>
    <n v="160.91999999999999"/>
    <n v="18"/>
    <n v="2896.56"/>
    <s v="May"/>
  </r>
  <r>
    <s v="S978"/>
    <x v="340"/>
    <x v="5"/>
    <x v="4"/>
    <s v="White"/>
    <x v="0"/>
    <x v="2"/>
    <n v="41.31"/>
    <n v="2"/>
    <n v="82.62"/>
    <s v="February"/>
  </r>
  <r>
    <s v="S979"/>
    <x v="237"/>
    <x v="3"/>
    <x v="2"/>
    <s v="Blue"/>
    <x v="4"/>
    <x v="2"/>
    <n v="139.19999999999999"/>
    <n v="19"/>
    <n v="2644.8"/>
    <s v="July"/>
  </r>
  <r>
    <s v="S980"/>
    <x v="143"/>
    <x v="5"/>
    <x v="5"/>
    <s v="White"/>
    <x v="2"/>
    <x v="0"/>
    <n v="161.31"/>
    <n v="19"/>
    <n v="3064.89"/>
    <s v="February"/>
  </r>
  <r>
    <s v="S981"/>
    <x v="182"/>
    <x v="3"/>
    <x v="3"/>
    <s v="Green"/>
    <x v="2"/>
    <x v="1"/>
    <n v="103.53"/>
    <n v="16"/>
    <n v="1656.48"/>
    <s v="June"/>
  </r>
  <r>
    <s v="S982"/>
    <x v="340"/>
    <x v="1"/>
    <x v="4"/>
    <s v="Black"/>
    <x v="2"/>
    <x v="1"/>
    <n v="199.6"/>
    <n v="20"/>
    <n v="3992"/>
    <s v="February"/>
  </r>
  <r>
    <s v="S983"/>
    <x v="20"/>
    <x v="0"/>
    <x v="4"/>
    <s v="Blue"/>
    <x v="4"/>
    <x v="2"/>
    <n v="53.45"/>
    <n v="3"/>
    <n v="160.35"/>
    <s v="July"/>
  </r>
  <r>
    <s v="S984"/>
    <x v="232"/>
    <x v="3"/>
    <x v="0"/>
    <s v="Green"/>
    <x v="4"/>
    <x v="1"/>
    <n v="46.53"/>
    <n v="4"/>
    <n v="186.12"/>
    <s v="August"/>
  </r>
  <r>
    <s v="S985"/>
    <x v="114"/>
    <x v="0"/>
    <x v="4"/>
    <s v="Grey"/>
    <x v="1"/>
    <x v="2"/>
    <n v="190.2"/>
    <n v="13"/>
    <n v="2472.6"/>
    <s v="January"/>
  </r>
  <r>
    <s v="S986"/>
    <x v="24"/>
    <x v="3"/>
    <x v="4"/>
    <s v="Grey"/>
    <x v="2"/>
    <x v="0"/>
    <n v="139.01"/>
    <n v="19"/>
    <n v="2641.19"/>
    <s v="October"/>
  </r>
  <r>
    <s v="S987"/>
    <x v="19"/>
    <x v="1"/>
    <x v="0"/>
    <s v="Red"/>
    <x v="6"/>
    <x v="1"/>
    <n v="181.45"/>
    <n v="2"/>
    <n v="362.9"/>
    <s v="March"/>
  </r>
  <r>
    <s v="S988"/>
    <x v="260"/>
    <x v="0"/>
    <x v="2"/>
    <s v="Red"/>
    <x v="3"/>
    <x v="2"/>
    <n v="125.66"/>
    <n v="17"/>
    <n v="2136.2199999999998"/>
    <s v="October"/>
  </r>
  <r>
    <s v="S989"/>
    <x v="60"/>
    <x v="4"/>
    <x v="1"/>
    <s v="Red"/>
    <x v="5"/>
    <x v="1"/>
    <n v="84.21"/>
    <n v="5"/>
    <n v="421.05"/>
    <s v="March"/>
  </r>
  <r>
    <s v="S990"/>
    <x v="160"/>
    <x v="5"/>
    <x v="4"/>
    <s v="Black"/>
    <x v="6"/>
    <x v="1"/>
    <n v="210.2"/>
    <n v="18"/>
    <n v="3783.6"/>
    <s v="January"/>
  </r>
  <r>
    <s v="S991"/>
    <x v="292"/>
    <x v="3"/>
    <x v="3"/>
    <s v="Grey"/>
    <x v="0"/>
    <x v="2"/>
    <n v="205.87"/>
    <n v="5"/>
    <n v="1029.3499999999999"/>
    <s v="August"/>
  </r>
  <r>
    <s v="S992"/>
    <x v="159"/>
    <x v="3"/>
    <x v="5"/>
    <s v="Grey"/>
    <x v="2"/>
    <x v="1"/>
    <n v="182.83"/>
    <n v="19"/>
    <n v="3473.77"/>
    <s v="July"/>
  </r>
  <r>
    <s v="S993"/>
    <x v="102"/>
    <x v="0"/>
    <x v="4"/>
    <s v="Red"/>
    <x v="3"/>
    <x v="1"/>
    <n v="89.87"/>
    <n v="8"/>
    <n v="718.96"/>
    <s v="May"/>
  </r>
  <r>
    <s v="S994"/>
    <x v="260"/>
    <x v="0"/>
    <x v="0"/>
    <s v="Red"/>
    <x v="6"/>
    <x v="2"/>
    <n v="159.85"/>
    <n v="3"/>
    <n v="479.55"/>
    <s v="October"/>
  </r>
  <r>
    <s v="S995"/>
    <x v="196"/>
    <x v="4"/>
    <x v="4"/>
    <s v="Grey"/>
    <x v="2"/>
    <x v="0"/>
    <n v="109.41"/>
    <n v="7"/>
    <n v="765.87"/>
    <s v="June"/>
  </r>
  <r>
    <s v="S996"/>
    <x v="341"/>
    <x v="4"/>
    <x v="5"/>
    <s v="Red"/>
    <x v="5"/>
    <x v="0"/>
    <n v="50.15"/>
    <n v="6"/>
    <n v="300.89999999999998"/>
    <s v="June"/>
  </r>
  <r>
    <s v="S997"/>
    <x v="89"/>
    <x v="3"/>
    <x v="2"/>
    <s v="Green"/>
    <x v="3"/>
    <x v="0"/>
    <n v="231.81"/>
    <n v="2"/>
    <n v="463.62"/>
    <s v="August"/>
  </r>
  <r>
    <s v="S998"/>
    <x v="275"/>
    <x v="1"/>
    <x v="1"/>
    <s v="White"/>
    <x v="5"/>
    <x v="0"/>
    <n v="60.1"/>
    <n v="4"/>
    <n v="240.4"/>
    <s v="February"/>
  </r>
  <r>
    <s v="S999"/>
    <x v="138"/>
    <x v="4"/>
    <x v="0"/>
    <s v="Black"/>
    <x v="3"/>
    <x v="2"/>
    <n v="239.05"/>
    <n v="1"/>
    <n v="239.05"/>
    <s v="May"/>
  </r>
  <r>
    <s v="S1000"/>
    <x v="145"/>
    <x v="4"/>
    <x v="2"/>
    <s v="Green"/>
    <x v="5"/>
    <x v="0"/>
    <n v="128.12"/>
    <n v="1"/>
    <n v="128.12"/>
    <s v="Augu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EA80A1-B420-4639-9B82-78801E1B5DE3}" name="PivotTable10"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BRAND">
  <location ref="A26:H34" firstHeaderRow="1" firstDataRow="2" firstDataCol="1"/>
  <pivotFields count="12">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3"/>
        <item x="2"/>
        <item x="0"/>
        <item x="4"/>
        <item x="5"/>
        <item x="1"/>
        <item t="default"/>
      </items>
    </pivotField>
    <pivotField axis="axisCol" dataField="1" showAll="0">
      <items count="7">
        <item x="0"/>
        <item x="2"/>
        <item x="3"/>
        <item x="1"/>
        <item x="5"/>
        <item x="4"/>
        <item t="default"/>
      </items>
    </pivotField>
    <pivotField showAll="0"/>
    <pivotField showAll="0">
      <items count="8">
        <item h="1" x="3"/>
        <item x="6"/>
        <item x="5"/>
        <item x="4"/>
        <item x="2"/>
        <item h="1" x="0"/>
        <item x="1"/>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Fields count="1">
    <field x="3"/>
  </colFields>
  <colItems count="7">
    <i>
      <x/>
    </i>
    <i>
      <x v="1"/>
    </i>
    <i>
      <x v="2"/>
    </i>
    <i>
      <x v="3"/>
    </i>
    <i>
      <x v="4"/>
    </i>
    <i>
      <x v="5"/>
    </i>
    <i t="grand">
      <x/>
    </i>
  </colItems>
  <dataFields count="1">
    <dataField name="SOLD UNIT" fld="3" subtotal="count" baseField="2" baseItem="0" numFmtId="1"/>
  </dataFields>
  <formats count="1">
    <format dxfId="29">
      <pivotArea outline="0" collapsedLevelsAreSubtotals="1" fieldPosition="0"/>
    </format>
  </formats>
  <chartFormats count="6">
    <chartFormat chart="3" format="12" series="1">
      <pivotArea type="data" outline="0" fieldPosition="0">
        <references count="2">
          <reference field="4294967294" count="1" selected="0">
            <x v="0"/>
          </reference>
          <reference field="3" count="1" selected="0">
            <x v="0"/>
          </reference>
        </references>
      </pivotArea>
    </chartFormat>
    <chartFormat chart="3" format="13" series="1">
      <pivotArea type="data" outline="0" fieldPosition="0">
        <references count="2">
          <reference field="4294967294" count="1" selected="0">
            <x v="0"/>
          </reference>
          <reference field="3" count="1" selected="0">
            <x v="1"/>
          </reference>
        </references>
      </pivotArea>
    </chartFormat>
    <chartFormat chart="3" format="14" series="1">
      <pivotArea type="data" outline="0" fieldPosition="0">
        <references count="2">
          <reference field="4294967294" count="1" selected="0">
            <x v="0"/>
          </reference>
          <reference field="3" count="1" selected="0">
            <x v="2"/>
          </reference>
        </references>
      </pivotArea>
    </chartFormat>
    <chartFormat chart="3" format="15" series="1">
      <pivotArea type="data" outline="0" fieldPosition="0">
        <references count="2">
          <reference field="4294967294" count="1" selected="0">
            <x v="0"/>
          </reference>
          <reference field="3" count="1" selected="0">
            <x v="3"/>
          </reference>
        </references>
      </pivotArea>
    </chartFormat>
    <chartFormat chart="3" format="16" series="1">
      <pivotArea type="data" outline="0" fieldPosition="0">
        <references count="2">
          <reference field="4294967294" count="1" selected="0">
            <x v="0"/>
          </reference>
          <reference field="3" count="1" selected="0">
            <x v="4"/>
          </reference>
        </references>
      </pivotArea>
    </chartFormat>
    <chartFormat chart="3" format="17"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42D666-6131-4B58-99F6-62AC35BF1A40}" name="PivotTable1"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2">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8">
        <item h="1" x="3"/>
        <item x="6"/>
        <item x="5"/>
        <item x="4"/>
        <item x="2"/>
        <item h="1" x="0"/>
        <item x="1"/>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ORDERS" fld="0" subtotal="count" baseField="0" baseItem="8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AE2414-B84F-49C6-A9FD-12F768F0A582}" name="PivotTable6"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ONTH">
  <location ref="A9:A10" firstHeaderRow="1" firstDataRow="1" firstDataCol="0"/>
  <pivotFields count="12">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8">
        <item h="1" x="3"/>
        <item x="6"/>
        <item x="5"/>
        <item x="4"/>
        <item x="2"/>
        <item h="1" x="0"/>
        <item x="1"/>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REVENUE" fld="9" baseField="10" baseItem="1" numFmtId="164"/>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82680C-EB47-4126-8952-484727D2974C}" name="PivotTable5"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MONTH">
  <location ref="H3:I16" firstHeaderRow="1" firstDataRow="1" firstDataCol="1"/>
  <pivotFields count="12">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8">
        <item h="1" x="3"/>
        <item x="6"/>
        <item x="5"/>
        <item x="4"/>
        <item x="2"/>
        <item h="1" x="0"/>
        <item x="1"/>
        <item t="default"/>
      </items>
    </pivotField>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TOTAL REVENUE" fld="9" baseField="10" baseItem="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94972B-0C6E-4A6C-8997-4A5D345DFC23}" name="PivotTable11"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ONTH">
  <location ref="A12:A13" firstHeaderRow="1" firstDataRow="1" firstDataCol="0"/>
  <pivotFields count="12">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8">
        <item h="1" x="3"/>
        <item x="6"/>
        <item x="5"/>
        <item x="4"/>
        <item x="2"/>
        <item h="1" x="0"/>
        <item x="1"/>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Price_USD" fld="7" subtotal="average" baseField="0" baseItem="1466500352" numFmtId="164"/>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DB0375-D620-4DA1-80E3-A6169B55834F}" name="PivotTable4"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MONTH">
  <location ref="E3:F16" firstHeaderRow="1" firstDataRow="1" firstDataCol="1"/>
  <pivotFields count="12">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8">
        <item h="1" x="3"/>
        <item x="6"/>
        <item x="5"/>
        <item x="4"/>
        <item x="2"/>
        <item h="1" x="0"/>
        <item x="1"/>
        <item t="default"/>
      </items>
    </pivotField>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TOTAL SOLD QUANTITY" fld="8" baseField="0" baseItem="8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0FAC74-B837-4F54-AADC-3DBF0D12FFAE}" name="PivotTable9"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BRAND">
  <location ref="G18:H25" firstHeaderRow="1" firstDataRow="1" firstDataCol="1"/>
  <pivotFields count="12">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3"/>
        <item x="2"/>
        <item x="0"/>
        <item x="4"/>
        <item x="5"/>
        <item x="1"/>
        <item t="default"/>
      </items>
    </pivotField>
    <pivotField showAll="0"/>
    <pivotField showAll="0"/>
    <pivotField showAll="0">
      <items count="8">
        <item h="1" x="3"/>
        <item x="6"/>
        <item x="5"/>
        <item x="4"/>
        <item x="2"/>
        <item h="1" x="0"/>
        <item x="1"/>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Average of Price_USD" fld="7" subtotal="average" baseField="2" baseItem="0" numFmtId="2"/>
  </dataFields>
  <formats count="1">
    <format dxfId="32">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F8D678-2689-4A5C-AE69-99988ECE5682}" name="PivotTable3"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ONTH">
  <location ref="A6:A7" firstHeaderRow="1" firstDataRow="1" firstDataCol="0"/>
  <pivotFields count="12">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8">
        <item h="1" x="3"/>
        <item x="6"/>
        <item x="5"/>
        <item x="4"/>
        <item x="2"/>
        <item h="1" x="0"/>
        <item x="1"/>
        <item t="default"/>
      </items>
    </pivotField>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SOLD QUANTITY" fld="8" baseField="0" baseItem="80" numFmtId="2"/>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4AD8A0-A701-4A7A-B986-3A2B42D85E79}" name="PivotTable8" cacheId="2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rowHeaderCaption="BRAND">
  <location ref="D18:E24" firstHeaderRow="1" firstDataRow="1" firstDataCol="1"/>
  <pivotFields count="12">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7">
        <item x="1"/>
        <item x="5"/>
        <item x="4"/>
        <item x="0"/>
        <item x="2"/>
        <item x="3"/>
        <item t="default"/>
      </items>
    </pivotField>
    <pivotField showAll="0"/>
    <pivotField showAll="0"/>
    <pivotField showAll="0">
      <items count="8">
        <item h="1" x="3"/>
        <item x="6"/>
        <item x="5"/>
        <item x="4"/>
        <item x="2"/>
        <item h="1" x="0"/>
        <item x="1"/>
        <item t="default"/>
      </items>
    </pivotField>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x v="5"/>
    </i>
  </rowItems>
  <colItems count="1">
    <i/>
  </colItems>
  <dataFields count="1">
    <dataField name="TOTAL Units_Sold" fld="8" baseField="2"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1FD2C3-CD49-47D8-A1FB-0299D9455AE9}" name="PivotTable15"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sales chennal">
  <location ref="K9:L13" firstHeaderRow="1" firstDataRow="1" firstDataCol="1"/>
  <pivotFields count="12">
    <pivotField showAll="0"/>
    <pivotField numFmtId="14" showAll="0"/>
    <pivotField showAll="0"/>
    <pivotField showAll="0"/>
    <pivotField showAll="0"/>
    <pivotField showAll="0"/>
    <pivotField axis="axisRow" showAll="0">
      <items count="4">
        <item x="1"/>
        <item x="0"/>
        <item x="2"/>
        <item t="default"/>
      </items>
    </pivotField>
    <pivotField showAll="0"/>
    <pivotField showAll="0"/>
    <pivotField dataField="1" showAll="0"/>
    <pivotField showAll="0"/>
    <pivotField showAll="0" defaultSubtotal="0"/>
  </pivotFields>
  <rowFields count="1">
    <field x="6"/>
  </rowFields>
  <rowItems count="4">
    <i>
      <x/>
    </i>
    <i>
      <x v="1"/>
    </i>
    <i>
      <x v="2"/>
    </i>
    <i t="grand">
      <x/>
    </i>
  </rowItems>
  <colItems count="1">
    <i/>
  </colItems>
  <dataFields count="1">
    <dataField name="TOTAL REVENUE" fld="9" baseField="6"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A73AB1-EFED-4CA2-9D1B-9C5BDBAECA13}" name="PivotTable13"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Sales channal">
  <location ref="K3:L7" firstHeaderRow="1" firstDataRow="1" firstDataCol="1"/>
  <pivotFields count="12">
    <pivotField dataField="1" showAll="0"/>
    <pivotField numFmtId="14"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defaultSubtotal="0"/>
  </pivotFields>
  <rowFields count="1">
    <field x="6"/>
  </rowFields>
  <rowItems count="4">
    <i>
      <x/>
    </i>
    <i>
      <x v="1"/>
    </i>
    <i>
      <x v="2"/>
    </i>
    <i t="grand">
      <x/>
    </i>
  </rowItems>
  <colItems count="1">
    <i/>
  </colItems>
  <dataFields count="1">
    <dataField name="TOTAL ORDERS" fld="0" subtotal="count" baseField="6" baseItem="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CA9623-2182-4D69-91C4-AC4566D8F7DA}" name="PivotTable2" cacheId="2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rowHeaderCaption="MONTH">
  <location ref="B3:C15" firstHeaderRow="1" firstDataRow="1" firstDataCol="1"/>
  <pivotFields count="12">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8">
        <item h="1" x="3"/>
        <item x="6"/>
        <item x="5"/>
        <item x="4"/>
        <item x="2"/>
        <item h="1" x="0"/>
        <item x="1"/>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2">
    <i>
      <x v="1"/>
    </i>
    <i>
      <x v="2"/>
    </i>
    <i>
      <x v="3"/>
    </i>
    <i>
      <x v="4"/>
    </i>
    <i>
      <x v="5"/>
    </i>
    <i>
      <x v="6"/>
    </i>
    <i>
      <x v="7"/>
    </i>
    <i>
      <x v="8"/>
    </i>
    <i>
      <x v="9"/>
    </i>
    <i>
      <x v="10"/>
    </i>
    <i>
      <x v="11"/>
    </i>
    <i>
      <x v="12"/>
    </i>
  </rowItems>
  <colItems count="1">
    <i/>
  </colItems>
  <dataFields count="1">
    <dataField name="ORDERS"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4D6E61-8899-452A-90D9-607C8795F95F}" name="PivotTable7" cacheId="2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rowHeaderCaption="BRAND">
  <location ref="A18:B24" firstHeaderRow="1" firstDataRow="1" firstDataCol="1"/>
  <pivotFields count="12">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3"/>
        <item x="2"/>
        <item x="0"/>
        <item x="4"/>
        <item x="5"/>
        <item x="1"/>
        <item t="default"/>
      </items>
    </pivotField>
    <pivotField showAll="0"/>
    <pivotField showAll="0"/>
    <pivotField showAll="0">
      <items count="8">
        <item h="1" x="3"/>
        <item x="6"/>
        <item x="5"/>
        <item x="4"/>
        <item x="2"/>
        <item h="1" x="0"/>
        <item x="1"/>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x v="5"/>
    </i>
  </rowItems>
  <colItems count="1">
    <i/>
  </colItems>
  <dataFields count="1">
    <dataField name="TOTAL REVENUE" fld="9" baseField="10" baseItem="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C04C7DB-8E5C-4650-BEB4-24FA4C853354}" autoFormatId="16" applyNumberFormats="0" applyBorderFormats="0" applyFontFormats="0" applyPatternFormats="0" applyAlignmentFormats="0" applyWidthHeightFormats="0">
  <queryTableRefresh nextId="12" unboundColumnsRight="1">
    <queryTableFields count="11">
      <queryTableField id="1" name="Sale_ID" tableColumnId="1"/>
      <queryTableField id="2" name="Date" tableColumnId="2"/>
      <queryTableField id="3" name="Brand" tableColumnId="3"/>
      <queryTableField id="4" name="Shoe_Type" tableColumnId="4"/>
      <queryTableField id="5" name="Color" tableColumnId="5"/>
      <queryTableField id="6" name="Country" tableColumnId="6"/>
      <queryTableField id="7" name="Sales_Channel" tableColumnId="7"/>
      <queryTableField id="8" name="Price_USD" tableColumnId="8"/>
      <queryTableField id="9" name="Units_Sold" tableColumnId="9"/>
      <queryTableField id="10" name="Revenue_USD"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168BE1D-C5CD-4172-943F-ABF99B6028D2}" sourceName="Country">
  <pivotTables>
    <pivotTable tabId="4" name="PivotTable10"/>
    <pivotTable tabId="4" name="PivotTable1"/>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315792043">
      <items count="7">
        <i x="3"/>
        <i x="6" s="1"/>
        <i x="5" s="1"/>
        <i x="4" s="1"/>
        <i x="2" s="1"/>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21688D5-5A2D-45EE-9478-8C9C94CD4902}" cache="Slicer_Country" caption="COUNTRY" style="SlicerStyleLight2"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1F1335-F01B-45AC-941B-C8621E9833E9}" name="shoes_sales_dataset" displayName="shoes_sales_dataset" ref="A1:K1001" tableType="queryTable" totalsRowShown="0">
  <autoFilter ref="A1:K1001" xr:uid="{411F1335-F01B-45AC-941B-C8621E9833E9}"/>
  <tableColumns count="11">
    <tableColumn id="1" xr3:uid="{3A3B226A-6B37-4F0B-A2DB-BA7D7C328EC1}" uniqueName="1" name="Sale_ID" queryTableFieldId="1" dataDxfId="8"/>
    <tableColumn id="2" xr3:uid="{CF7E57E4-2D88-48D1-B801-245884AD49BF}" uniqueName="2" name="Date" queryTableFieldId="2" dataDxfId="7"/>
    <tableColumn id="3" xr3:uid="{C3446297-D845-4636-892B-109465F1942E}" uniqueName="3" name="Brand" queryTableFieldId="3" dataDxfId="6"/>
    <tableColumn id="4" xr3:uid="{BFF47263-8821-4958-84B2-AFFCCDAD638F}" uniqueName="4" name="Shoe_Type" queryTableFieldId="4" dataDxfId="5"/>
    <tableColumn id="5" xr3:uid="{0A336FB0-069E-4036-8AC0-4689EA98427B}" uniqueName="5" name="Color" queryTableFieldId="5" dataDxfId="4"/>
    <tableColumn id="6" xr3:uid="{A5CEBFC5-3245-47F4-9031-DF9DDC7624CA}" uniqueName="6" name="Country" queryTableFieldId="6" dataDxfId="3"/>
    <tableColumn id="7" xr3:uid="{E4A9C065-66AD-417D-8D70-519EAD6E2C99}" uniqueName="7" name="Sales_Channel" queryTableFieldId="7" dataDxfId="2"/>
    <tableColumn id="8" xr3:uid="{5F1B1534-E16B-4D3C-B9FF-69113D243D88}" uniqueName="8" name="Price_USD" queryTableFieldId="8"/>
    <tableColumn id="9" xr3:uid="{C653FE39-C30E-40B8-A848-1A2AC1F9DF9C}" uniqueName="9" name="Units_Sold" queryTableFieldId="9"/>
    <tableColumn id="10" xr3:uid="{1CE63DDC-000A-461E-8663-0EB50D71EC08}" uniqueName="10" name="Revenue_USD" queryTableFieldId="10"/>
    <tableColumn id="11" xr3:uid="{F97F5E2E-861A-4F8D-900D-4DDE3344BA9C}" uniqueName="11" name="MONTH" queryTableFieldId="11">
      <calculatedColumnFormula>TEXT(B:B,"MMMM")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2C361-68A4-4395-8EF8-D2A48958B1C7}">
  <dimension ref="A1:K1001"/>
  <sheetViews>
    <sheetView workbookViewId="0">
      <selection activeCell="A2" sqref="A2"/>
    </sheetView>
  </sheetViews>
  <sheetFormatPr defaultRowHeight="15" x14ac:dyDescent="0.25"/>
  <cols>
    <col min="1" max="1" width="9.85546875" bestFit="1" customWidth="1"/>
    <col min="2" max="2" width="10.42578125" bestFit="1" customWidth="1"/>
    <col min="3" max="3" width="12.42578125" bestFit="1" customWidth="1"/>
    <col min="4" max="4" width="13" bestFit="1" customWidth="1"/>
    <col min="5" max="5" width="8" bestFit="1" customWidth="1"/>
    <col min="6" max="6" width="12" bestFit="1" customWidth="1"/>
    <col min="7" max="7" width="16.28515625" bestFit="1" customWidth="1"/>
    <col min="8" max="8" width="12.42578125" bestFit="1" customWidth="1"/>
    <col min="9" max="9" width="12.85546875" bestFit="1" customWidth="1"/>
    <col min="10" max="10" width="16" bestFit="1" customWidth="1"/>
    <col min="11" max="11" width="10.85546875" bestFit="1" customWidth="1"/>
  </cols>
  <sheetData>
    <row r="1" spans="1:11" x14ac:dyDescent="0.25">
      <c r="A1" t="s">
        <v>0</v>
      </c>
      <c r="B1" t="s">
        <v>1</v>
      </c>
      <c r="C1" t="s">
        <v>2</v>
      </c>
      <c r="D1" t="s">
        <v>3</v>
      </c>
      <c r="E1" t="s">
        <v>4</v>
      </c>
      <c r="F1" t="s">
        <v>5</v>
      </c>
      <c r="G1" t="s">
        <v>6</v>
      </c>
      <c r="H1" t="s">
        <v>7</v>
      </c>
      <c r="I1" t="s">
        <v>8</v>
      </c>
      <c r="J1" t="s">
        <v>9</v>
      </c>
      <c r="K1" t="s">
        <v>1052</v>
      </c>
    </row>
    <row r="2" spans="1:11" x14ac:dyDescent="0.25">
      <c r="A2" s="1" t="s">
        <v>10</v>
      </c>
      <c r="B2" s="2">
        <v>45985</v>
      </c>
      <c r="C2" s="1" t="s">
        <v>11</v>
      </c>
      <c r="D2" s="1" t="s">
        <v>12</v>
      </c>
      <c r="E2" s="1" t="s">
        <v>13</v>
      </c>
      <c r="F2" s="1" t="s">
        <v>14</v>
      </c>
      <c r="G2" s="1" t="s">
        <v>15</v>
      </c>
      <c r="H2">
        <v>112.4</v>
      </c>
      <c r="I2">
        <v>4</v>
      </c>
      <c r="J2">
        <v>449.6</v>
      </c>
      <c r="K2" t="str">
        <f t="shared" ref="K2:K65" si="0">TEXT(B:B,"MMMM")</f>
        <v>November</v>
      </c>
    </row>
    <row r="3" spans="1:11" x14ac:dyDescent="0.25">
      <c r="A3" s="1" t="s">
        <v>16</v>
      </c>
      <c r="B3" s="2">
        <v>45729</v>
      </c>
      <c r="C3" s="1" t="s">
        <v>17</v>
      </c>
      <c r="D3" s="1" t="s">
        <v>12</v>
      </c>
      <c r="E3" s="1" t="s">
        <v>18</v>
      </c>
      <c r="F3" s="1" t="s">
        <v>19</v>
      </c>
      <c r="G3" s="1" t="s">
        <v>20</v>
      </c>
      <c r="H3">
        <v>239.16</v>
      </c>
      <c r="I3">
        <v>4</v>
      </c>
      <c r="J3">
        <v>956.64</v>
      </c>
      <c r="K3" t="str">
        <f t="shared" si="0"/>
        <v>March</v>
      </c>
    </row>
    <row r="4" spans="1:11" x14ac:dyDescent="0.25">
      <c r="A4" s="1" t="s">
        <v>21</v>
      </c>
      <c r="B4" s="2">
        <v>45874</v>
      </c>
      <c r="C4" s="1" t="s">
        <v>11</v>
      </c>
      <c r="D4" s="1" t="s">
        <v>22</v>
      </c>
      <c r="E4" s="1" t="s">
        <v>23</v>
      </c>
      <c r="F4" s="1" t="s">
        <v>14</v>
      </c>
      <c r="G4" s="1" t="s">
        <v>20</v>
      </c>
      <c r="H4">
        <v>191.04</v>
      </c>
      <c r="I4">
        <v>2</v>
      </c>
      <c r="J4">
        <v>382.08</v>
      </c>
      <c r="K4" t="str">
        <f t="shared" si="0"/>
        <v>August</v>
      </c>
    </row>
    <row r="5" spans="1:11" x14ac:dyDescent="0.25">
      <c r="A5" s="1" t="s">
        <v>24</v>
      </c>
      <c r="B5" s="2">
        <v>45966</v>
      </c>
      <c r="C5" s="1" t="s">
        <v>25</v>
      </c>
      <c r="D5" s="1" t="s">
        <v>26</v>
      </c>
      <c r="E5" s="1" t="s">
        <v>27</v>
      </c>
      <c r="F5" s="1" t="s">
        <v>28</v>
      </c>
      <c r="G5" s="1" t="s">
        <v>20</v>
      </c>
      <c r="H5">
        <v>161.69999999999999</v>
      </c>
      <c r="I5">
        <v>1</v>
      </c>
      <c r="J5">
        <v>161.69999999999999</v>
      </c>
      <c r="K5" t="str">
        <f t="shared" si="0"/>
        <v>November</v>
      </c>
    </row>
    <row r="6" spans="1:11" x14ac:dyDescent="0.25">
      <c r="A6" s="1" t="s">
        <v>29</v>
      </c>
      <c r="B6" s="2">
        <v>45937</v>
      </c>
      <c r="C6" s="1" t="s">
        <v>30</v>
      </c>
      <c r="D6" s="1" t="s">
        <v>31</v>
      </c>
      <c r="E6" s="1" t="s">
        <v>18</v>
      </c>
      <c r="F6" s="1" t="s">
        <v>32</v>
      </c>
      <c r="G6" s="1" t="s">
        <v>15</v>
      </c>
      <c r="H6">
        <v>64.319999999999993</v>
      </c>
      <c r="I6">
        <v>14</v>
      </c>
      <c r="J6">
        <v>900.48</v>
      </c>
      <c r="K6" t="str">
        <f t="shared" si="0"/>
        <v>October</v>
      </c>
    </row>
    <row r="7" spans="1:11" x14ac:dyDescent="0.25">
      <c r="A7" s="1" t="s">
        <v>33</v>
      </c>
      <c r="B7" s="2">
        <v>45739</v>
      </c>
      <c r="C7" s="1" t="s">
        <v>34</v>
      </c>
      <c r="D7" s="1" t="s">
        <v>35</v>
      </c>
      <c r="E7" s="1" t="s">
        <v>23</v>
      </c>
      <c r="F7" s="1" t="s">
        <v>14</v>
      </c>
      <c r="G7" s="1" t="s">
        <v>36</v>
      </c>
      <c r="H7">
        <v>64.319999999999993</v>
      </c>
      <c r="I7">
        <v>14</v>
      </c>
      <c r="J7">
        <v>900.48</v>
      </c>
      <c r="K7" t="str">
        <f t="shared" si="0"/>
        <v>March</v>
      </c>
    </row>
    <row r="8" spans="1:11" x14ac:dyDescent="0.25">
      <c r="A8" s="1" t="s">
        <v>37</v>
      </c>
      <c r="B8" s="2">
        <v>45710</v>
      </c>
      <c r="C8" s="1" t="s">
        <v>38</v>
      </c>
      <c r="D8" s="1" t="s">
        <v>22</v>
      </c>
      <c r="E8" s="1" t="s">
        <v>13</v>
      </c>
      <c r="F8" s="1" t="s">
        <v>39</v>
      </c>
      <c r="G8" s="1" t="s">
        <v>36</v>
      </c>
      <c r="H8">
        <v>42.78</v>
      </c>
      <c r="I8">
        <v>3</v>
      </c>
      <c r="J8">
        <v>128.34</v>
      </c>
      <c r="K8" t="str">
        <f t="shared" si="0"/>
        <v>February</v>
      </c>
    </row>
    <row r="9" spans="1:11" x14ac:dyDescent="0.25">
      <c r="A9" s="1" t="s">
        <v>40</v>
      </c>
      <c r="B9" s="2">
        <v>45967</v>
      </c>
      <c r="C9" s="1" t="s">
        <v>11</v>
      </c>
      <c r="D9" s="1" t="s">
        <v>12</v>
      </c>
      <c r="E9" s="1" t="s">
        <v>41</v>
      </c>
      <c r="F9" s="1" t="s">
        <v>42</v>
      </c>
      <c r="G9" s="1" t="s">
        <v>15</v>
      </c>
      <c r="H9">
        <v>220.56</v>
      </c>
      <c r="I9">
        <v>9</v>
      </c>
      <c r="J9">
        <v>1985.04</v>
      </c>
      <c r="K9" t="str">
        <f t="shared" si="0"/>
        <v>November</v>
      </c>
    </row>
    <row r="10" spans="1:11" x14ac:dyDescent="0.25">
      <c r="A10" s="1" t="s">
        <v>43</v>
      </c>
      <c r="B10" s="2">
        <v>45851</v>
      </c>
      <c r="C10" s="1" t="s">
        <v>25</v>
      </c>
      <c r="D10" s="1" t="s">
        <v>35</v>
      </c>
      <c r="E10" s="1" t="s">
        <v>27</v>
      </c>
      <c r="F10" s="1" t="s">
        <v>42</v>
      </c>
      <c r="G10" s="1" t="s">
        <v>36</v>
      </c>
      <c r="H10">
        <v>162.25</v>
      </c>
      <c r="I10">
        <v>3</v>
      </c>
      <c r="J10">
        <v>486.75</v>
      </c>
      <c r="K10" t="str">
        <f t="shared" si="0"/>
        <v>July</v>
      </c>
    </row>
    <row r="11" spans="1:11" x14ac:dyDescent="0.25">
      <c r="A11" s="1" t="s">
        <v>44</v>
      </c>
      <c r="B11" s="2">
        <v>45953</v>
      </c>
      <c r="C11" s="1" t="s">
        <v>17</v>
      </c>
      <c r="D11" s="1" t="s">
        <v>22</v>
      </c>
      <c r="E11" s="1" t="s">
        <v>45</v>
      </c>
      <c r="F11" s="1" t="s">
        <v>28</v>
      </c>
      <c r="G11" s="1" t="s">
        <v>15</v>
      </c>
      <c r="H11">
        <v>185.78</v>
      </c>
      <c r="I11">
        <v>7</v>
      </c>
      <c r="J11">
        <v>1300.46</v>
      </c>
      <c r="K11" t="str">
        <f t="shared" si="0"/>
        <v>October</v>
      </c>
    </row>
    <row r="12" spans="1:11" x14ac:dyDescent="0.25">
      <c r="A12" s="1" t="s">
        <v>46</v>
      </c>
      <c r="B12" s="2">
        <v>45806</v>
      </c>
      <c r="C12" s="1" t="s">
        <v>30</v>
      </c>
      <c r="D12" s="1" t="s">
        <v>22</v>
      </c>
      <c r="E12" s="1" t="s">
        <v>41</v>
      </c>
      <c r="F12" s="1" t="s">
        <v>32</v>
      </c>
      <c r="G12" s="1" t="s">
        <v>36</v>
      </c>
      <c r="H12">
        <v>34.53</v>
      </c>
      <c r="I12">
        <v>3</v>
      </c>
      <c r="J12">
        <v>103.59</v>
      </c>
      <c r="K12" t="str">
        <f t="shared" si="0"/>
        <v>May</v>
      </c>
    </row>
    <row r="13" spans="1:11" x14ac:dyDescent="0.25">
      <c r="A13" s="1" t="s">
        <v>47</v>
      </c>
      <c r="B13" s="2">
        <v>45983</v>
      </c>
      <c r="C13" s="1" t="s">
        <v>30</v>
      </c>
      <c r="D13" s="1" t="s">
        <v>35</v>
      </c>
      <c r="E13" s="1" t="s">
        <v>13</v>
      </c>
      <c r="F13" s="1" t="s">
        <v>14</v>
      </c>
      <c r="G13" s="1" t="s">
        <v>20</v>
      </c>
      <c r="H13">
        <v>243.38</v>
      </c>
      <c r="I13">
        <v>12</v>
      </c>
      <c r="J13">
        <v>2920.56</v>
      </c>
      <c r="K13" t="str">
        <f t="shared" si="0"/>
        <v>November</v>
      </c>
    </row>
    <row r="14" spans="1:11" x14ac:dyDescent="0.25">
      <c r="A14" s="1" t="s">
        <v>48</v>
      </c>
      <c r="B14" s="2">
        <v>45794</v>
      </c>
      <c r="C14" s="1" t="s">
        <v>25</v>
      </c>
      <c r="D14" s="1" t="s">
        <v>12</v>
      </c>
      <c r="E14" s="1" t="s">
        <v>23</v>
      </c>
      <c r="F14" s="1" t="s">
        <v>42</v>
      </c>
      <c r="G14" s="1" t="s">
        <v>20</v>
      </c>
      <c r="H14">
        <v>213.14</v>
      </c>
      <c r="I14">
        <v>3</v>
      </c>
      <c r="J14">
        <v>639.41999999999996</v>
      </c>
      <c r="K14" t="str">
        <f t="shared" si="0"/>
        <v>May</v>
      </c>
    </row>
    <row r="15" spans="1:11" x14ac:dyDescent="0.25">
      <c r="A15" s="1" t="s">
        <v>49</v>
      </c>
      <c r="B15" s="2">
        <v>45783</v>
      </c>
      <c r="C15" s="1" t="s">
        <v>38</v>
      </c>
      <c r="D15" s="1" t="s">
        <v>31</v>
      </c>
      <c r="E15" s="1" t="s">
        <v>13</v>
      </c>
      <c r="F15" s="1" t="s">
        <v>28</v>
      </c>
      <c r="G15" s="1" t="s">
        <v>20</v>
      </c>
      <c r="H15">
        <v>76.709999999999994</v>
      </c>
      <c r="I15">
        <v>6</v>
      </c>
      <c r="J15">
        <v>460.26</v>
      </c>
      <c r="K15" t="str">
        <f t="shared" si="0"/>
        <v>May</v>
      </c>
    </row>
    <row r="16" spans="1:11" x14ac:dyDescent="0.25">
      <c r="A16" s="1" t="s">
        <v>50</v>
      </c>
      <c r="B16" s="2">
        <v>45943</v>
      </c>
      <c r="C16" s="1" t="s">
        <v>17</v>
      </c>
      <c r="D16" s="1" t="s">
        <v>35</v>
      </c>
      <c r="E16" s="1" t="s">
        <v>45</v>
      </c>
      <c r="F16" s="1" t="s">
        <v>14</v>
      </c>
      <c r="G16" s="1" t="s">
        <v>15</v>
      </c>
      <c r="H16">
        <v>70</v>
      </c>
      <c r="I16">
        <v>8</v>
      </c>
      <c r="J16">
        <v>560</v>
      </c>
      <c r="K16" t="str">
        <f t="shared" si="0"/>
        <v>October</v>
      </c>
    </row>
    <row r="17" spans="1:11" x14ac:dyDescent="0.25">
      <c r="A17" s="1" t="s">
        <v>51</v>
      </c>
      <c r="B17" s="2">
        <v>45819</v>
      </c>
      <c r="C17" s="1" t="s">
        <v>34</v>
      </c>
      <c r="D17" s="1" t="s">
        <v>22</v>
      </c>
      <c r="E17" s="1" t="s">
        <v>23</v>
      </c>
      <c r="F17" s="1" t="s">
        <v>42</v>
      </c>
      <c r="G17" s="1" t="s">
        <v>20</v>
      </c>
      <c r="H17">
        <v>70.349999999999994</v>
      </c>
      <c r="I17">
        <v>13</v>
      </c>
      <c r="J17">
        <v>914.55</v>
      </c>
      <c r="K17" t="str">
        <f t="shared" si="0"/>
        <v>June</v>
      </c>
    </row>
    <row r="18" spans="1:11" x14ac:dyDescent="0.25">
      <c r="A18" s="1" t="s">
        <v>52</v>
      </c>
      <c r="B18" s="2">
        <v>45819</v>
      </c>
      <c r="C18" s="1" t="s">
        <v>17</v>
      </c>
      <c r="D18" s="1" t="s">
        <v>31</v>
      </c>
      <c r="E18" s="1" t="s">
        <v>41</v>
      </c>
      <c r="F18" s="1" t="s">
        <v>28</v>
      </c>
      <c r="G18" s="1" t="s">
        <v>36</v>
      </c>
      <c r="H18">
        <v>96.93</v>
      </c>
      <c r="I18">
        <v>7</v>
      </c>
      <c r="J18">
        <v>678.51</v>
      </c>
      <c r="K18" t="str">
        <f t="shared" si="0"/>
        <v>June</v>
      </c>
    </row>
    <row r="19" spans="1:11" x14ac:dyDescent="0.25">
      <c r="A19" s="1" t="s">
        <v>53</v>
      </c>
      <c r="B19" s="2">
        <v>45731</v>
      </c>
      <c r="C19" s="1" t="s">
        <v>30</v>
      </c>
      <c r="D19" s="1" t="s">
        <v>26</v>
      </c>
      <c r="E19" s="1" t="s">
        <v>27</v>
      </c>
      <c r="F19" s="1" t="s">
        <v>42</v>
      </c>
      <c r="G19" s="1" t="s">
        <v>20</v>
      </c>
      <c r="H19">
        <v>145.44999999999999</v>
      </c>
      <c r="I19">
        <v>9</v>
      </c>
      <c r="J19">
        <v>1309.05</v>
      </c>
      <c r="K19" t="str">
        <f t="shared" si="0"/>
        <v>March</v>
      </c>
    </row>
    <row r="20" spans="1:11" x14ac:dyDescent="0.25">
      <c r="A20" s="1" t="s">
        <v>54</v>
      </c>
      <c r="B20" s="2">
        <v>45792</v>
      </c>
      <c r="C20" s="1" t="s">
        <v>38</v>
      </c>
      <c r="D20" s="1" t="s">
        <v>55</v>
      </c>
      <c r="E20" s="1" t="s">
        <v>41</v>
      </c>
      <c r="F20" s="1" t="s">
        <v>32</v>
      </c>
      <c r="G20" s="1" t="s">
        <v>15</v>
      </c>
      <c r="H20">
        <v>125.03</v>
      </c>
      <c r="I20">
        <v>19</v>
      </c>
      <c r="J20">
        <v>2375.5700000000002</v>
      </c>
      <c r="K20" t="str">
        <f t="shared" si="0"/>
        <v>May</v>
      </c>
    </row>
    <row r="21" spans="1:11" x14ac:dyDescent="0.25">
      <c r="A21" s="1" t="s">
        <v>56</v>
      </c>
      <c r="B21" s="2">
        <v>45728</v>
      </c>
      <c r="C21" s="1" t="s">
        <v>38</v>
      </c>
      <c r="D21" s="1" t="s">
        <v>22</v>
      </c>
      <c r="E21" s="1" t="s">
        <v>45</v>
      </c>
      <c r="F21" s="1" t="s">
        <v>39</v>
      </c>
      <c r="G21" s="1" t="s">
        <v>15</v>
      </c>
      <c r="H21">
        <v>94.07</v>
      </c>
      <c r="I21">
        <v>17</v>
      </c>
      <c r="J21">
        <v>1599.19</v>
      </c>
      <c r="K21" t="str">
        <f t="shared" si="0"/>
        <v>March</v>
      </c>
    </row>
    <row r="22" spans="1:11" x14ac:dyDescent="0.25">
      <c r="A22" s="1" t="s">
        <v>57</v>
      </c>
      <c r="B22" s="2">
        <v>45736</v>
      </c>
      <c r="C22" s="1" t="s">
        <v>17</v>
      </c>
      <c r="D22" s="1" t="s">
        <v>31</v>
      </c>
      <c r="E22" s="1" t="s">
        <v>18</v>
      </c>
      <c r="F22" s="1" t="s">
        <v>19</v>
      </c>
      <c r="G22" s="1" t="s">
        <v>36</v>
      </c>
      <c r="H22">
        <v>164.61</v>
      </c>
      <c r="I22">
        <v>6</v>
      </c>
      <c r="J22">
        <v>987.66</v>
      </c>
      <c r="K22" t="str">
        <f t="shared" si="0"/>
        <v>March</v>
      </c>
    </row>
    <row r="23" spans="1:11" x14ac:dyDescent="0.25">
      <c r="A23" s="1" t="s">
        <v>58</v>
      </c>
      <c r="B23" s="2">
        <v>45853</v>
      </c>
      <c r="C23" s="1" t="s">
        <v>38</v>
      </c>
      <c r="D23" s="1" t="s">
        <v>55</v>
      </c>
      <c r="E23" s="1" t="s">
        <v>13</v>
      </c>
      <c r="F23" s="1" t="s">
        <v>42</v>
      </c>
      <c r="G23" s="1" t="s">
        <v>15</v>
      </c>
      <c r="H23">
        <v>60.69</v>
      </c>
      <c r="I23">
        <v>20</v>
      </c>
      <c r="J23">
        <v>1213.8</v>
      </c>
      <c r="K23" t="str">
        <f t="shared" si="0"/>
        <v>July</v>
      </c>
    </row>
    <row r="24" spans="1:11" x14ac:dyDescent="0.25">
      <c r="A24" s="1" t="s">
        <v>59</v>
      </c>
      <c r="B24" s="2">
        <v>46006</v>
      </c>
      <c r="C24" s="1" t="s">
        <v>17</v>
      </c>
      <c r="D24" s="1" t="s">
        <v>55</v>
      </c>
      <c r="E24" s="1" t="s">
        <v>13</v>
      </c>
      <c r="F24" s="1" t="s">
        <v>39</v>
      </c>
      <c r="G24" s="1" t="s">
        <v>20</v>
      </c>
      <c r="H24">
        <v>94.27</v>
      </c>
      <c r="I24">
        <v>4</v>
      </c>
      <c r="J24">
        <v>377.08</v>
      </c>
      <c r="K24" t="str">
        <f t="shared" si="0"/>
        <v>December</v>
      </c>
    </row>
    <row r="25" spans="1:11" x14ac:dyDescent="0.25">
      <c r="A25" s="1" t="s">
        <v>60</v>
      </c>
      <c r="B25" s="2">
        <v>45832</v>
      </c>
      <c r="C25" s="1" t="s">
        <v>34</v>
      </c>
      <c r="D25" s="1" t="s">
        <v>31</v>
      </c>
      <c r="E25" s="1" t="s">
        <v>23</v>
      </c>
      <c r="F25" s="1" t="s">
        <v>61</v>
      </c>
      <c r="G25" s="1" t="s">
        <v>15</v>
      </c>
      <c r="H25">
        <v>110.6</v>
      </c>
      <c r="I25">
        <v>4</v>
      </c>
      <c r="J25">
        <v>442.4</v>
      </c>
      <c r="K25" t="str">
        <f t="shared" si="0"/>
        <v>June</v>
      </c>
    </row>
    <row r="26" spans="1:11" x14ac:dyDescent="0.25">
      <c r="A26" s="1" t="s">
        <v>62</v>
      </c>
      <c r="B26" s="2">
        <v>45792</v>
      </c>
      <c r="C26" s="1" t="s">
        <v>30</v>
      </c>
      <c r="D26" s="1" t="s">
        <v>55</v>
      </c>
      <c r="E26" s="1" t="s">
        <v>45</v>
      </c>
      <c r="F26" s="1" t="s">
        <v>39</v>
      </c>
      <c r="G26" s="1" t="s">
        <v>20</v>
      </c>
      <c r="H26">
        <v>130.34</v>
      </c>
      <c r="I26">
        <v>17</v>
      </c>
      <c r="J26">
        <v>2215.7800000000002</v>
      </c>
      <c r="K26" t="str">
        <f t="shared" si="0"/>
        <v>May</v>
      </c>
    </row>
    <row r="27" spans="1:11" x14ac:dyDescent="0.25">
      <c r="A27" s="1" t="s">
        <v>63</v>
      </c>
      <c r="B27" s="2">
        <v>45810</v>
      </c>
      <c r="C27" s="1" t="s">
        <v>25</v>
      </c>
      <c r="D27" s="1" t="s">
        <v>26</v>
      </c>
      <c r="E27" s="1" t="s">
        <v>23</v>
      </c>
      <c r="F27" s="1" t="s">
        <v>32</v>
      </c>
      <c r="G27" s="1" t="s">
        <v>15</v>
      </c>
      <c r="H27">
        <v>202.74</v>
      </c>
      <c r="I27">
        <v>17</v>
      </c>
      <c r="J27">
        <v>3446.58</v>
      </c>
      <c r="K27" t="str">
        <f t="shared" si="0"/>
        <v>June</v>
      </c>
    </row>
    <row r="28" spans="1:11" x14ac:dyDescent="0.25">
      <c r="A28" s="1" t="s">
        <v>64</v>
      </c>
      <c r="B28" s="2">
        <v>45934</v>
      </c>
      <c r="C28" s="1" t="s">
        <v>11</v>
      </c>
      <c r="D28" s="1" t="s">
        <v>55</v>
      </c>
      <c r="E28" s="1" t="s">
        <v>13</v>
      </c>
      <c r="F28" s="1" t="s">
        <v>61</v>
      </c>
      <c r="G28" s="1" t="s">
        <v>15</v>
      </c>
      <c r="H28">
        <v>73.930000000000007</v>
      </c>
      <c r="I28">
        <v>17</v>
      </c>
      <c r="J28">
        <v>1256.81</v>
      </c>
      <c r="K28" t="str">
        <f t="shared" si="0"/>
        <v>October</v>
      </c>
    </row>
    <row r="29" spans="1:11" x14ac:dyDescent="0.25">
      <c r="A29" s="1" t="s">
        <v>65</v>
      </c>
      <c r="B29" s="2">
        <v>45715</v>
      </c>
      <c r="C29" s="1" t="s">
        <v>34</v>
      </c>
      <c r="D29" s="1" t="s">
        <v>26</v>
      </c>
      <c r="E29" s="1" t="s">
        <v>45</v>
      </c>
      <c r="F29" s="1" t="s">
        <v>14</v>
      </c>
      <c r="G29" s="1" t="s">
        <v>20</v>
      </c>
      <c r="H29">
        <v>143.13</v>
      </c>
      <c r="I29">
        <v>12</v>
      </c>
      <c r="J29">
        <v>1717.56</v>
      </c>
      <c r="K29" t="str">
        <f t="shared" si="0"/>
        <v>February</v>
      </c>
    </row>
    <row r="30" spans="1:11" x14ac:dyDescent="0.25">
      <c r="A30" s="1" t="s">
        <v>66</v>
      </c>
      <c r="B30" s="2">
        <v>45698</v>
      </c>
      <c r="C30" s="1" t="s">
        <v>17</v>
      </c>
      <c r="D30" s="1" t="s">
        <v>31</v>
      </c>
      <c r="E30" s="1" t="s">
        <v>45</v>
      </c>
      <c r="F30" s="1" t="s">
        <v>39</v>
      </c>
      <c r="G30" s="1" t="s">
        <v>20</v>
      </c>
      <c r="H30">
        <v>160.33000000000001</v>
      </c>
      <c r="I30">
        <v>3</v>
      </c>
      <c r="J30">
        <v>480.99</v>
      </c>
      <c r="K30" t="str">
        <f t="shared" si="0"/>
        <v>February</v>
      </c>
    </row>
    <row r="31" spans="1:11" x14ac:dyDescent="0.25">
      <c r="A31" s="1" t="s">
        <v>67</v>
      </c>
      <c r="B31" s="2">
        <v>45722</v>
      </c>
      <c r="C31" s="1" t="s">
        <v>17</v>
      </c>
      <c r="D31" s="1" t="s">
        <v>31</v>
      </c>
      <c r="E31" s="1" t="s">
        <v>18</v>
      </c>
      <c r="F31" s="1" t="s">
        <v>14</v>
      </c>
      <c r="G31" s="1" t="s">
        <v>36</v>
      </c>
      <c r="H31">
        <v>40.22</v>
      </c>
      <c r="I31">
        <v>5</v>
      </c>
      <c r="J31">
        <v>201.1</v>
      </c>
      <c r="K31" t="str">
        <f t="shared" si="0"/>
        <v>March</v>
      </c>
    </row>
    <row r="32" spans="1:11" x14ac:dyDescent="0.25">
      <c r="A32" s="1" t="s">
        <v>68</v>
      </c>
      <c r="B32" s="2">
        <v>45928</v>
      </c>
      <c r="C32" s="1" t="s">
        <v>38</v>
      </c>
      <c r="D32" s="1" t="s">
        <v>26</v>
      </c>
      <c r="E32" s="1" t="s">
        <v>18</v>
      </c>
      <c r="F32" s="1" t="s">
        <v>39</v>
      </c>
      <c r="G32" s="1" t="s">
        <v>20</v>
      </c>
      <c r="H32">
        <v>163.66</v>
      </c>
      <c r="I32">
        <v>20</v>
      </c>
      <c r="J32">
        <v>3273.2</v>
      </c>
      <c r="K32" t="str">
        <f t="shared" si="0"/>
        <v>September</v>
      </c>
    </row>
    <row r="33" spans="1:11" x14ac:dyDescent="0.25">
      <c r="A33" s="1" t="s">
        <v>69</v>
      </c>
      <c r="B33" s="2">
        <v>46011</v>
      </c>
      <c r="C33" s="1" t="s">
        <v>17</v>
      </c>
      <c r="D33" s="1" t="s">
        <v>35</v>
      </c>
      <c r="E33" s="1" t="s">
        <v>41</v>
      </c>
      <c r="F33" s="1" t="s">
        <v>28</v>
      </c>
      <c r="G33" s="1" t="s">
        <v>20</v>
      </c>
      <c r="H33">
        <v>67.52</v>
      </c>
      <c r="I33">
        <v>7</v>
      </c>
      <c r="J33">
        <v>472.64</v>
      </c>
      <c r="K33" t="str">
        <f t="shared" si="0"/>
        <v>December</v>
      </c>
    </row>
    <row r="34" spans="1:11" x14ac:dyDescent="0.25">
      <c r="A34" s="1" t="s">
        <v>70</v>
      </c>
      <c r="B34" s="2">
        <v>45849</v>
      </c>
      <c r="C34" s="1" t="s">
        <v>25</v>
      </c>
      <c r="D34" s="1" t="s">
        <v>31</v>
      </c>
      <c r="E34" s="1" t="s">
        <v>45</v>
      </c>
      <c r="F34" s="1" t="s">
        <v>14</v>
      </c>
      <c r="G34" s="1" t="s">
        <v>15</v>
      </c>
      <c r="H34">
        <v>44.31</v>
      </c>
      <c r="I34">
        <v>15</v>
      </c>
      <c r="J34">
        <v>664.65</v>
      </c>
      <c r="K34" t="str">
        <f t="shared" si="0"/>
        <v>July</v>
      </c>
    </row>
    <row r="35" spans="1:11" x14ac:dyDescent="0.25">
      <c r="A35" s="1" t="s">
        <v>71</v>
      </c>
      <c r="B35" s="2">
        <v>45690</v>
      </c>
      <c r="C35" s="1" t="s">
        <v>11</v>
      </c>
      <c r="D35" s="1" t="s">
        <v>55</v>
      </c>
      <c r="E35" s="1" t="s">
        <v>18</v>
      </c>
      <c r="F35" s="1" t="s">
        <v>14</v>
      </c>
      <c r="G35" s="1" t="s">
        <v>20</v>
      </c>
      <c r="H35">
        <v>238.75</v>
      </c>
      <c r="I35">
        <v>11</v>
      </c>
      <c r="J35">
        <v>2626.25</v>
      </c>
      <c r="K35" t="str">
        <f t="shared" si="0"/>
        <v>February</v>
      </c>
    </row>
    <row r="36" spans="1:11" x14ac:dyDescent="0.25">
      <c r="A36" s="1" t="s">
        <v>72</v>
      </c>
      <c r="B36" s="2">
        <v>45770</v>
      </c>
      <c r="C36" s="1" t="s">
        <v>11</v>
      </c>
      <c r="D36" s="1" t="s">
        <v>12</v>
      </c>
      <c r="E36" s="1" t="s">
        <v>27</v>
      </c>
      <c r="F36" s="1" t="s">
        <v>19</v>
      </c>
      <c r="G36" s="1" t="s">
        <v>15</v>
      </c>
      <c r="H36">
        <v>242.44</v>
      </c>
      <c r="I36">
        <v>1</v>
      </c>
      <c r="J36">
        <v>242.44</v>
      </c>
      <c r="K36" t="str">
        <f t="shared" si="0"/>
        <v>April</v>
      </c>
    </row>
    <row r="37" spans="1:11" x14ac:dyDescent="0.25">
      <c r="A37" s="1" t="s">
        <v>73</v>
      </c>
      <c r="B37" s="2">
        <v>45692</v>
      </c>
      <c r="C37" s="1" t="s">
        <v>34</v>
      </c>
      <c r="D37" s="1" t="s">
        <v>22</v>
      </c>
      <c r="E37" s="1" t="s">
        <v>18</v>
      </c>
      <c r="F37" s="1" t="s">
        <v>14</v>
      </c>
      <c r="G37" s="1" t="s">
        <v>36</v>
      </c>
      <c r="H37">
        <v>207.85</v>
      </c>
      <c r="I37">
        <v>2</v>
      </c>
      <c r="J37">
        <v>415.7</v>
      </c>
      <c r="K37" t="str">
        <f t="shared" si="0"/>
        <v>February</v>
      </c>
    </row>
    <row r="38" spans="1:11" x14ac:dyDescent="0.25">
      <c r="A38" s="1" t="s">
        <v>74</v>
      </c>
      <c r="B38" s="2">
        <v>46000</v>
      </c>
      <c r="C38" s="1" t="s">
        <v>30</v>
      </c>
      <c r="D38" s="1" t="s">
        <v>55</v>
      </c>
      <c r="E38" s="1" t="s">
        <v>23</v>
      </c>
      <c r="F38" s="1" t="s">
        <v>28</v>
      </c>
      <c r="G38" s="1" t="s">
        <v>20</v>
      </c>
      <c r="H38">
        <v>97.02</v>
      </c>
      <c r="I38">
        <v>16</v>
      </c>
      <c r="J38">
        <v>1552.32</v>
      </c>
      <c r="K38" t="str">
        <f t="shared" si="0"/>
        <v>December</v>
      </c>
    </row>
    <row r="39" spans="1:11" x14ac:dyDescent="0.25">
      <c r="A39" s="1" t="s">
        <v>75</v>
      </c>
      <c r="B39" s="2">
        <v>45953</v>
      </c>
      <c r="C39" s="1" t="s">
        <v>30</v>
      </c>
      <c r="D39" s="1" t="s">
        <v>31</v>
      </c>
      <c r="E39" s="1" t="s">
        <v>41</v>
      </c>
      <c r="F39" s="1" t="s">
        <v>14</v>
      </c>
      <c r="G39" s="1" t="s">
        <v>15</v>
      </c>
      <c r="H39">
        <v>51.49</v>
      </c>
      <c r="I39">
        <v>16</v>
      </c>
      <c r="J39">
        <v>823.84</v>
      </c>
      <c r="K39" t="str">
        <f t="shared" si="0"/>
        <v>October</v>
      </c>
    </row>
    <row r="40" spans="1:11" x14ac:dyDescent="0.25">
      <c r="A40" s="1" t="s">
        <v>76</v>
      </c>
      <c r="B40" s="2">
        <v>45707</v>
      </c>
      <c r="C40" s="1" t="s">
        <v>34</v>
      </c>
      <c r="D40" s="1" t="s">
        <v>31</v>
      </c>
      <c r="E40" s="1" t="s">
        <v>41</v>
      </c>
      <c r="F40" s="1" t="s">
        <v>61</v>
      </c>
      <c r="G40" s="1" t="s">
        <v>20</v>
      </c>
      <c r="H40">
        <v>180.53</v>
      </c>
      <c r="I40">
        <v>14</v>
      </c>
      <c r="J40">
        <v>2527.42</v>
      </c>
      <c r="K40" t="str">
        <f t="shared" si="0"/>
        <v>February</v>
      </c>
    </row>
    <row r="41" spans="1:11" x14ac:dyDescent="0.25">
      <c r="A41" s="1" t="s">
        <v>77</v>
      </c>
      <c r="B41" s="2">
        <v>45685</v>
      </c>
      <c r="C41" s="1" t="s">
        <v>11</v>
      </c>
      <c r="D41" s="1" t="s">
        <v>31</v>
      </c>
      <c r="E41" s="1" t="s">
        <v>27</v>
      </c>
      <c r="F41" s="1" t="s">
        <v>32</v>
      </c>
      <c r="G41" s="1" t="s">
        <v>15</v>
      </c>
      <c r="H41">
        <v>126.83</v>
      </c>
      <c r="I41">
        <v>4</v>
      </c>
      <c r="J41">
        <v>507.32</v>
      </c>
      <c r="K41" t="str">
        <f t="shared" si="0"/>
        <v>January</v>
      </c>
    </row>
    <row r="42" spans="1:11" x14ac:dyDescent="0.25">
      <c r="A42" s="1" t="s">
        <v>78</v>
      </c>
      <c r="B42" s="2">
        <v>45785</v>
      </c>
      <c r="C42" s="1" t="s">
        <v>30</v>
      </c>
      <c r="D42" s="1" t="s">
        <v>55</v>
      </c>
      <c r="E42" s="1" t="s">
        <v>41</v>
      </c>
      <c r="F42" s="1" t="s">
        <v>14</v>
      </c>
      <c r="G42" s="1" t="s">
        <v>36</v>
      </c>
      <c r="H42">
        <v>56.85</v>
      </c>
      <c r="I42">
        <v>7</v>
      </c>
      <c r="J42">
        <v>397.95</v>
      </c>
      <c r="K42" t="str">
        <f t="shared" si="0"/>
        <v>May</v>
      </c>
    </row>
    <row r="43" spans="1:11" x14ac:dyDescent="0.25">
      <c r="A43" s="1" t="s">
        <v>79</v>
      </c>
      <c r="B43" s="2">
        <v>45751</v>
      </c>
      <c r="C43" s="1" t="s">
        <v>38</v>
      </c>
      <c r="D43" s="1" t="s">
        <v>26</v>
      </c>
      <c r="E43" s="1" t="s">
        <v>45</v>
      </c>
      <c r="F43" s="1" t="s">
        <v>61</v>
      </c>
      <c r="G43" s="1" t="s">
        <v>20</v>
      </c>
      <c r="H43">
        <v>138.94</v>
      </c>
      <c r="I43">
        <v>9</v>
      </c>
      <c r="J43">
        <v>1250.46</v>
      </c>
      <c r="K43" t="str">
        <f t="shared" si="0"/>
        <v>April</v>
      </c>
    </row>
    <row r="44" spans="1:11" x14ac:dyDescent="0.25">
      <c r="A44" s="1" t="s">
        <v>80</v>
      </c>
      <c r="B44" s="2">
        <v>45708</v>
      </c>
      <c r="C44" s="1" t="s">
        <v>17</v>
      </c>
      <c r="D44" s="1" t="s">
        <v>55</v>
      </c>
      <c r="E44" s="1" t="s">
        <v>45</v>
      </c>
      <c r="F44" s="1" t="s">
        <v>19</v>
      </c>
      <c r="G44" s="1" t="s">
        <v>15</v>
      </c>
      <c r="H44">
        <v>37.57</v>
      </c>
      <c r="I44">
        <v>2</v>
      </c>
      <c r="J44">
        <v>75.14</v>
      </c>
      <c r="K44" t="str">
        <f t="shared" si="0"/>
        <v>February</v>
      </c>
    </row>
    <row r="45" spans="1:11" x14ac:dyDescent="0.25">
      <c r="A45" s="1" t="s">
        <v>81</v>
      </c>
      <c r="B45" s="2">
        <v>45743</v>
      </c>
      <c r="C45" s="1" t="s">
        <v>38</v>
      </c>
      <c r="D45" s="1" t="s">
        <v>31</v>
      </c>
      <c r="E45" s="1" t="s">
        <v>23</v>
      </c>
      <c r="F45" s="1" t="s">
        <v>39</v>
      </c>
      <c r="G45" s="1" t="s">
        <v>36</v>
      </c>
      <c r="H45">
        <v>230.05</v>
      </c>
      <c r="I45">
        <v>14</v>
      </c>
      <c r="J45">
        <v>3220.7</v>
      </c>
      <c r="K45" t="str">
        <f t="shared" si="0"/>
        <v>March</v>
      </c>
    </row>
    <row r="46" spans="1:11" x14ac:dyDescent="0.25">
      <c r="A46" s="1" t="s">
        <v>82</v>
      </c>
      <c r="B46" s="2">
        <v>45688</v>
      </c>
      <c r="C46" s="1" t="s">
        <v>38</v>
      </c>
      <c r="D46" s="1" t="s">
        <v>22</v>
      </c>
      <c r="E46" s="1" t="s">
        <v>41</v>
      </c>
      <c r="F46" s="1" t="s">
        <v>32</v>
      </c>
      <c r="G46" s="1" t="s">
        <v>36</v>
      </c>
      <c r="H46">
        <v>86.93</v>
      </c>
      <c r="I46">
        <v>6</v>
      </c>
      <c r="J46">
        <v>521.58000000000004</v>
      </c>
      <c r="K46" t="str">
        <f t="shared" si="0"/>
        <v>January</v>
      </c>
    </row>
    <row r="47" spans="1:11" x14ac:dyDescent="0.25">
      <c r="A47" s="1" t="s">
        <v>83</v>
      </c>
      <c r="B47" s="2">
        <v>45804</v>
      </c>
      <c r="C47" s="1" t="s">
        <v>17</v>
      </c>
      <c r="D47" s="1" t="s">
        <v>12</v>
      </c>
      <c r="E47" s="1" t="s">
        <v>18</v>
      </c>
      <c r="F47" s="1" t="s">
        <v>28</v>
      </c>
      <c r="G47" s="1" t="s">
        <v>20</v>
      </c>
      <c r="H47">
        <v>175.75</v>
      </c>
      <c r="I47">
        <v>14</v>
      </c>
      <c r="J47">
        <v>2460.5</v>
      </c>
      <c r="K47" t="str">
        <f t="shared" si="0"/>
        <v>May</v>
      </c>
    </row>
    <row r="48" spans="1:11" x14ac:dyDescent="0.25">
      <c r="A48" s="1" t="s">
        <v>84</v>
      </c>
      <c r="B48" s="2">
        <v>45907</v>
      </c>
      <c r="C48" s="1" t="s">
        <v>30</v>
      </c>
      <c r="D48" s="1" t="s">
        <v>35</v>
      </c>
      <c r="E48" s="1" t="s">
        <v>23</v>
      </c>
      <c r="F48" s="1" t="s">
        <v>19</v>
      </c>
      <c r="G48" s="1" t="s">
        <v>20</v>
      </c>
      <c r="H48">
        <v>98.58</v>
      </c>
      <c r="I48">
        <v>5</v>
      </c>
      <c r="J48">
        <v>492.9</v>
      </c>
      <c r="K48" t="str">
        <f t="shared" si="0"/>
        <v>September</v>
      </c>
    </row>
    <row r="49" spans="1:11" x14ac:dyDescent="0.25">
      <c r="A49" s="1" t="s">
        <v>85</v>
      </c>
      <c r="B49" s="2">
        <v>45935</v>
      </c>
      <c r="C49" s="1" t="s">
        <v>17</v>
      </c>
      <c r="D49" s="1" t="s">
        <v>35</v>
      </c>
      <c r="E49" s="1" t="s">
        <v>45</v>
      </c>
      <c r="F49" s="1" t="s">
        <v>19</v>
      </c>
      <c r="G49" s="1" t="s">
        <v>20</v>
      </c>
      <c r="H49">
        <v>144.41</v>
      </c>
      <c r="I49">
        <v>2</v>
      </c>
      <c r="J49">
        <v>288.82</v>
      </c>
      <c r="K49" t="str">
        <f t="shared" si="0"/>
        <v>October</v>
      </c>
    </row>
    <row r="50" spans="1:11" x14ac:dyDescent="0.25">
      <c r="A50" s="1" t="s">
        <v>86</v>
      </c>
      <c r="B50" s="2">
        <v>45902</v>
      </c>
      <c r="C50" s="1" t="s">
        <v>25</v>
      </c>
      <c r="D50" s="1" t="s">
        <v>26</v>
      </c>
      <c r="E50" s="1" t="s">
        <v>45</v>
      </c>
      <c r="F50" s="1" t="s">
        <v>42</v>
      </c>
      <c r="G50" s="1" t="s">
        <v>15</v>
      </c>
      <c r="H50">
        <v>150.28</v>
      </c>
      <c r="I50">
        <v>17</v>
      </c>
      <c r="J50">
        <v>2554.7600000000002</v>
      </c>
      <c r="K50" t="str">
        <f t="shared" si="0"/>
        <v>September</v>
      </c>
    </row>
    <row r="51" spans="1:11" x14ac:dyDescent="0.25">
      <c r="A51" s="1" t="s">
        <v>87</v>
      </c>
      <c r="B51" s="2">
        <v>45753</v>
      </c>
      <c r="C51" s="1" t="s">
        <v>25</v>
      </c>
      <c r="D51" s="1" t="s">
        <v>22</v>
      </c>
      <c r="E51" s="1" t="s">
        <v>27</v>
      </c>
      <c r="F51" s="1" t="s">
        <v>39</v>
      </c>
      <c r="G51" s="1" t="s">
        <v>15</v>
      </c>
      <c r="H51">
        <v>70.67</v>
      </c>
      <c r="I51">
        <v>3</v>
      </c>
      <c r="J51">
        <v>212.01</v>
      </c>
      <c r="K51" t="str">
        <f t="shared" si="0"/>
        <v>April</v>
      </c>
    </row>
    <row r="52" spans="1:11" x14ac:dyDescent="0.25">
      <c r="A52" s="1" t="s">
        <v>88</v>
      </c>
      <c r="B52" s="2">
        <v>45864</v>
      </c>
      <c r="C52" s="1" t="s">
        <v>25</v>
      </c>
      <c r="D52" s="1" t="s">
        <v>26</v>
      </c>
      <c r="E52" s="1" t="s">
        <v>18</v>
      </c>
      <c r="F52" s="1" t="s">
        <v>42</v>
      </c>
      <c r="G52" s="1" t="s">
        <v>15</v>
      </c>
      <c r="H52">
        <v>243.31</v>
      </c>
      <c r="I52">
        <v>4</v>
      </c>
      <c r="J52">
        <v>973.24</v>
      </c>
      <c r="K52" t="str">
        <f t="shared" si="0"/>
        <v>July</v>
      </c>
    </row>
    <row r="53" spans="1:11" x14ac:dyDescent="0.25">
      <c r="A53" s="1" t="s">
        <v>89</v>
      </c>
      <c r="B53" s="2">
        <v>45975</v>
      </c>
      <c r="C53" s="1" t="s">
        <v>38</v>
      </c>
      <c r="D53" s="1" t="s">
        <v>12</v>
      </c>
      <c r="E53" s="1" t="s">
        <v>18</v>
      </c>
      <c r="F53" s="1" t="s">
        <v>42</v>
      </c>
      <c r="G53" s="1" t="s">
        <v>20</v>
      </c>
      <c r="H53">
        <v>200.53</v>
      </c>
      <c r="I53">
        <v>3</v>
      </c>
      <c r="J53">
        <v>601.59</v>
      </c>
      <c r="K53" t="str">
        <f t="shared" si="0"/>
        <v>November</v>
      </c>
    </row>
    <row r="54" spans="1:11" x14ac:dyDescent="0.25">
      <c r="A54" s="1" t="s">
        <v>90</v>
      </c>
      <c r="B54" s="2">
        <v>45819</v>
      </c>
      <c r="C54" s="1" t="s">
        <v>30</v>
      </c>
      <c r="D54" s="1" t="s">
        <v>12</v>
      </c>
      <c r="E54" s="1" t="s">
        <v>27</v>
      </c>
      <c r="F54" s="1" t="s">
        <v>32</v>
      </c>
      <c r="G54" s="1" t="s">
        <v>15</v>
      </c>
      <c r="H54">
        <v>236.69</v>
      </c>
      <c r="I54">
        <v>9</v>
      </c>
      <c r="J54">
        <v>2130.21</v>
      </c>
      <c r="K54" t="str">
        <f t="shared" si="0"/>
        <v>June</v>
      </c>
    </row>
    <row r="55" spans="1:11" x14ac:dyDescent="0.25">
      <c r="A55" s="1" t="s">
        <v>91</v>
      </c>
      <c r="B55" s="2">
        <v>45793</v>
      </c>
      <c r="C55" s="1" t="s">
        <v>30</v>
      </c>
      <c r="D55" s="1" t="s">
        <v>12</v>
      </c>
      <c r="E55" s="1" t="s">
        <v>27</v>
      </c>
      <c r="F55" s="1" t="s">
        <v>32</v>
      </c>
      <c r="G55" s="1" t="s">
        <v>36</v>
      </c>
      <c r="H55">
        <v>226.86</v>
      </c>
      <c r="I55">
        <v>13</v>
      </c>
      <c r="J55">
        <v>2949.18</v>
      </c>
      <c r="K55" t="str">
        <f t="shared" si="0"/>
        <v>May</v>
      </c>
    </row>
    <row r="56" spans="1:11" x14ac:dyDescent="0.25">
      <c r="A56" s="1" t="s">
        <v>92</v>
      </c>
      <c r="B56" s="2">
        <v>45819</v>
      </c>
      <c r="C56" s="1" t="s">
        <v>11</v>
      </c>
      <c r="D56" s="1" t="s">
        <v>31</v>
      </c>
      <c r="E56" s="1" t="s">
        <v>18</v>
      </c>
      <c r="F56" s="1" t="s">
        <v>42</v>
      </c>
      <c r="G56" s="1" t="s">
        <v>15</v>
      </c>
      <c r="H56">
        <v>161.54</v>
      </c>
      <c r="I56">
        <v>3</v>
      </c>
      <c r="J56">
        <v>484.62</v>
      </c>
      <c r="K56" t="str">
        <f t="shared" si="0"/>
        <v>June</v>
      </c>
    </row>
    <row r="57" spans="1:11" x14ac:dyDescent="0.25">
      <c r="A57" s="1" t="s">
        <v>93</v>
      </c>
      <c r="B57" s="2">
        <v>45695</v>
      </c>
      <c r="C57" s="1" t="s">
        <v>30</v>
      </c>
      <c r="D57" s="1" t="s">
        <v>55</v>
      </c>
      <c r="E57" s="1" t="s">
        <v>13</v>
      </c>
      <c r="F57" s="1" t="s">
        <v>14</v>
      </c>
      <c r="G57" s="1" t="s">
        <v>36</v>
      </c>
      <c r="H57">
        <v>232.81</v>
      </c>
      <c r="I57">
        <v>18</v>
      </c>
      <c r="J57">
        <v>4190.58</v>
      </c>
      <c r="K57" t="str">
        <f t="shared" si="0"/>
        <v>February</v>
      </c>
    </row>
    <row r="58" spans="1:11" x14ac:dyDescent="0.25">
      <c r="A58" s="1" t="s">
        <v>94</v>
      </c>
      <c r="B58" s="2">
        <v>45693</v>
      </c>
      <c r="C58" s="1" t="s">
        <v>34</v>
      </c>
      <c r="D58" s="1" t="s">
        <v>35</v>
      </c>
      <c r="E58" s="1" t="s">
        <v>23</v>
      </c>
      <c r="F58" s="1" t="s">
        <v>61</v>
      </c>
      <c r="G58" s="1" t="s">
        <v>20</v>
      </c>
      <c r="H58">
        <v>49.47</v>
      </c>
      <c r="I58">
        <v>8</v>
      </c>
      <c r="J58">
        <v>395.76</v>
      </c>
      <c r="K58" t="str">
        <f t="shared" si="0"/>
        <v>February</v>
      </c>
    </row>
    <row r="59" spans="1:11" x14ac:dyDescent="0.25">
      <c r="A59" s="1" t="s">
        <v>95</v>
      </c>
      <c r="B59" s="2">
        <v>46018</v>
      </c>
      <c r="C59" s="1" t="s">
        <v>25</v>
      </c>
      <c r="D59" s="1" t="s">
        <v>12</v>
      </c>
      <c r="E59" s="1" t="s">
        <v>18</v>
      </c>
      <c r="F59" s="1" t="s">
        <v>19</v>
      </c>
      <c r="G59" s="1" t="s">
        <v>20</v>
      </c>
      <c r="H59">
        <v>73.12</v>
      </c>
      <c r="I59">
        <v>10</v>
      </c>
      <c r="J59">
        <v>731.2</v>
      </c>
      <c r="K59" t="str">
        <f t="shared" si="0"/>
        <v>December</v>
      </c>
    </row>
    <row r="60" spans="1:11" x14ac:dyDescent="0.25">
      <c r="A60" s="1" t="s">
        <v>96</v>
      </c>
      <c r="B60" s="2">
        <v>45941</v>
      </c>
      <c r="C60" s="1" t="s">
        <v>17</v>
      </c>
      <c r="D60" s="1" t="s">
        <v>22</v>
      </c>
      <c r="E60" s="1" t="s">
        <v>23</v>
      </c>
      <c r="F60" s="1" t="s">
        <v>32</v>
      </c>
      <c r="G60" s="1" t="s">
        <v>15</v>
      </c>
      <c r="H60">
        <v>39.950000000000003</v>
      </c>
      <c r="I60">
        <v>10</v>
      </c>
      <c r="J60">
        <v>399.5</v>
      </c>
      <c r="K60" t="str">
        <f t="shared" si="0"/>
        <v>October</v>
      </c>
    </row>
    <row r="61" spans="1:11" x14ac:dyDescent="0.25">
      <c r="A61" s="1" t="s">
        <v>97</v>
      </c>
      <c r="B61" s="2">
        <v>45712</v>
      </c>
      <c r="C61" s="1" t="s">
        <v>30</v>
      </c>
      <c r="D61" s="1" t="s">
        <v>35</v>
      </c>
      <c r="E61" s="1" t="s">
        <v>13</v>
      </c>
      <c r="F61" s="1" t="s">
        <v>42</v>
      </c>
      <c r="G61" s="1" t="s">
        <v>15</v>
      </c>
      <c r="H61">
        <v>101.57</v>
      </c>
      <c r="I61">
        <v>18</v>
      </c>
      <c r="J61">
        <v>1828.26</v>
      </c>
      <c r="K61" t="str">
        <f t="shared" si="0"/>
        <v>February</v>
      </c>
    </row>
    <row r="62" spans="1:11" x14ac:dyDescent="0.25">
      <c r="A62" s="1" t="s">
        <v>98</v>
      </c>
      <c r="B62" s="2">
        <v>45833</v>
      </c>
      <c r="C62" s="1" t="s">
        <v>17</v>
      </c>
      <c r="D62" s="1" t="s">
        <v>12</v>
      </c>
      <c r="E62" s="1" t="s">
        <v>13</v>
      </c>
      <c r="F62" s="1" t="s">
        <v>42</v>
      </c>
      <c r="G62" s="1" t="s">
        <v>36</v>
      </c>
      <c r="H62">
        <v>115.51</v>
      </c>
      <c r="I62">
        <v>7</v>
      </c>
      <c r="J62">
        <v>808.57</v>
      </c>
      <c r="K62" t="str">
        <f t="shared" si="0"/>
        <v>June</v>
      </c>
    </row>
    <row r="63" spans="1:11" x14ac:dyDescent="0.25">
      <c r="A63" s="1" t="s">
        <v>99</v>
      </c>
      <c r="B63" s="2">
        <v>45786</v>
      </c>
      <c r="C63" s="1" t="s">
        <v>11</v>
      </c>
      <c r="D63" s="1" t="s">
        <v>12</v>
      </c>
      <c r="E63" s="1" t="s">
        <v>41</v>
      </c>
      <c r="F63" s="1" t="s">
        <v>39</v>
      </c>
      <c r="G63" s="1" t="s">
        <v>36</v>
      </c>
      <c r="H63">
        <v>89.7</v>
      </c>
      <c r="I63">
        <v>2</v>
      </c>
      <c r="J63">
        <v>179.4</v>
      </c>
      <c r="K63" t="str">
        <f t="shared" si="0"/>
        <v>May</v>
      </c>
    </row>
    <row r="64" spans="1:11" x14ac:dyDescent="0.25">
      <c r="A64" s="1" t="s">
        <v>100</v>
      </c>
      <c r="B64" s="2">
        <v>45680</v>
      </c>
      <c r="C64" s="1" t="s">
        <v>34</v>
      </c>
      <c r="D64" s="1" t="s">
        <v>26</v>
      </c>
      <c r="E64" s="1" t="s">
        <v>27</v>
      </c>
      <c r="F64" s="1" t="s">
        <v>32</v>
      </c>
      <c r="G64" s="1" t="s">
        <v>15</v>
      </c>
      <c r="H64">
        <v>212.32</v>
      </c>
      <c r="I64">
        <v>1</v>
      </c>
      <c r="J64">
        <v>212.32</v>
      </c>
      <c r="K64" t="str">
        <f t="shared" si="0"/>
        <v>January</v>
      </c>
    </row>
    <row r="65" spans="1:11" x14ac:dyDescent="0.25">
      <c r="A65" s="1" t="s">
        <v>101</v>
      </c>
      <c r="B65" s="2">
        <v>45884</v>
      </c>
      <c r="C65" s="1" t="s">
        <v>17</v>
      </c>
      <c r="D65" s="1" t="s">
        <v>31</v>
      </c>
      <c r="E65" s="1" t="s">
        <v>18</v>
      </c>
      <c r="F65" s="1" t="s">
        <v>19</v>
      </c>
      <c r="G65" s="1" t="s">
        <v>15</v>
      </c>
      <c r="H65">
        <v>108.49</v>
      </c>
      <c r="I65">
        <v>18</v>
      </c>
      <c r="J65">
        <v>1952.82</v>
      </c>
      <c r="K65" t="str">
        <f t="shared" si="0"/>
        <v>August</v>
      </c>
    </row>
    <row r="66" spans="1:11" x14ac:dyDescent="0.25">
      <c r="A66" s="1" t="s">
        <v>102</v>
      </c>
      <c r="B66" s="2">
        <v>45696</v>
      </c>
      <c r="C66" s="1" t="s">
        <v>25</v>
      </c>
      <c r="D66" s="1" t="s">
        <v>22</v>
      </c>
      <c r="E66" s="1" t="s">
        <v>13</v>
      </c>
      <c r="F66" s="1" t="s">
        <v>42</v>
      </c>
      <c r="G66" s="1" t="s">
        <v>20</v>
      </c>
      <c r="H66">
        <v>91.81</v>
      </c>
      <c r="I66">
        <v>5</v>
      </c>
      <c r="J66">
        <v>459.05</v>
      </c>
      <c r="K66" t="str">
        <f t="shared" ref="K66:K129" si="1">TEXT(B:B,"MMMM")</f>
        <v>February</v>
      </c>
    </row>
    <row r="67" spans="1:11" x14ac:dyDescent="0.25">
      <c r="A67" s="1" t="s">
        <v>103</v>
      </c>
      <c r="B67" s="2">
        <v>45733</v>
      </c>
      <c r="C67" s="1" t="s">
        <v>30</v>
      </c>
      <c r="D67" s="1" t="s">
        <v>22</v>
      </c>
      <c r="E67" s="1" t="s">
        <v>13</v>
      </c>
      <c r="F67" s="1" t="s">
        <v>32</v>
      </c>
      <c r="G67" s="1" t="s">
        <v>15</v>
      </c>
      <c r="H67">
        <v>149.38999999999999</v>
      </c>
      <c r="I67">
        <v>14</v>
      </c>
      <c r="J67">
        <v>2091.46</v>
      </c>
      <c r="K67" t="str">
        <f t="shared" si="1"/>
        <v>March</v>
      </c>
    </row>
    <row r="68" spans="1:11" x14ac:dyDescent="0.25">
      <c r="A68" s="1" t="s">
        <v>104</v>
      </c>
      <c r="B68" s="2">
        <v>45841</v>
      </c>
      <c r="C68" s="1" t="s">
        <v>17</v>
      </c>
      <c r="D68" s="1" t="s">
        <v>26</v>
      </c>
      <c r="E68" s="1" t="s">
        <v>27</v>
      </c>
      <c r="F68" s="1" t="s">
        <v>19</v>
      </c>
      <c r="G68" s="1" t="s">
        <v>36</v>
      </c>
      <c r="H68">
        <v>61</v>
      </c>
      <c r="I68">
        <v>7</v>
      </c>
      <c r="J68">
        <v>427</v>
      </c>
      <c r="K68" t="str">
        <f t="shared" si="1"/>
        <v>July</v>
      </c>
    </row>
    <row r="69" spans="1:11" x14ac:dyDescent="0.25">
      <c r="A69" s="1" t="s">
        <v>105</v>
      </c>
      <c r="B69" s="2">
        <v>45944</v>
      </c>
      <c r="C69" s="1" t="s">
        <v>25</v>
      </c>
      <c r="D69" s="1" t="s">
        <v>12</v>
      </c>
      <c r="E69" s="1" t="s">
        <v>23</v>
      </c>
      <c r="F69" s="1" t="s">
        <v>14</v>
      </c>
      <c r="G69" s="1" t="s">
        <v>15</v>
      </c>
      <c r="H69">
        <v>206.48</v>
      </c>
      <c r="I69">
        <v>14</v>
      </c>
      <c r="J69">
        <v>2890.72</v>
      </c>
      <c r="K69" t="str">
        <f t="shared" si="1"/>
        <v>October</v>
      </c>
    </row>
    <row r="70" spans="1:11" x14ac:dyDescent="0.25">
      <c r="A70" s="1" t="s">
        <v>106</v>
      </c>
      <c r="B70" s="2">
        <v>45748</v>
      </c>
      <c r="C70" s="1" t="s">
        <v>11</v>
      </c>
      <c r="D70" s="1" t="s">
        <v>26</v>
      </c>
      <c r="E70" s="1" t="s">
        <v>27</v>
      </c>
      <c r="F70" s="1" t="s">
        <v>32</v>
      </c>
      <c r="G70" s="1" t="s">
        <v>36</v>
      </c>
      <c r="H70">
        <v>46.4</v>
      </c>
      <c r="I70">
        <v>14</v>
      </c>
      <c r="J70">
        <v>649.6</v>
      </c>
      <c r="K70" t="str">
        <f t="shared" si="1"/>
        <v>April</v>
      </c>
    </row>
    <row r="71" spans="1:11" x14ac:dyDescent="0.25">
      <c r="A71" s="1" t="s">
        <v>107</v>
      </c>
      <c r="B71" s="2">
        <v>46000</v>
      </c>
      <c r="C71" s="1" t="s">
        <v>34</v>
      </c>
      <c r="D71" s="1" t="s">
        <v>26</v>
      </c>
      <c r="E71" s="1" t="s">
        <v>27</v>
      </c>
      <c r="F71" s="1" t="s">
        <v>19</v>
      </c>
      <c r="G71" s="1" t="s">
        <v>36</v>
      </c>
      <c r="H71">
        <v>247.12</v>
      </c>
      <c r="I71">
        <v>8</v>
      </c>
      <c r="J71">
        <v>1976.96</v>
      </c>
      <c r="K71" t="str">
        <f t="shared" si="1"/>
        <v>December</v>
      </c>
    </row>
    <row r="72" spans="1:11" x14ac:dyDescent="0.25">
      <c r="A72" s="1" t="s">
        <v>108</v>
      </c>
      <c r="B72" s="2">
        <v>45677</v>
      </c>
      <c r="C72" s="1" t="s">
        <v>30</v>
      </c>
      <c r="D72" s="1" t="s">
        <v>26</v>
      </c>
      <c r="E72" s="1" t="s">
        <v>41</v>
      </c>
      <c r="F72" s="1" t="s">
        <v>32</v>
      </c>
      <c r="G72" s="1" t="s">
        <v>36</v>
      </c>
      <c r="H72">
        <v>199.89</v>
      </c>
      <c r="I72">
        <v>16</v>
      </c>
      <c r="J72">
        <v>3198.24</v>
      </c>
      <c r="K72" t="str">
        <f t="shared" si="1"/>
        <v>January</v>
      </c>
    </row>
    <row r="73" spans="1:11" x14ac:dyDescent="0.25">
      <c r="A73" s="1" t="s">
        <v>109</v>
      </c>
      <c r="B73" s="2">
        <v>45774</v>
      </c>
      <c r="C73" s="1" t="s">
        <v>11</v>
      </c>
      <c r="D73" s="1" t="s">
        <v>12</v>
      </c>
      <c r="E73" s="1" t="s">
        <v>23</v>
      </c>
      <c r="F73" s="1" t="s">
        <v>61</v>
      </c>
      <c r="G73" s="1" t="s">
        <v>36</v>
      </c>
      <c r="H73">
        <v>73.72</v>
      </c>
      <c r="I73">
        <v>8</v>
      </c>
      <c r="J73">
        <v>589.76</v>
      </c>
      <c r="K73" t="str">
        <f t="shared" si="1"/>
        <v>April</v>
      </c>
    </row>
    <row r="74" spans="1:11" x14ac:dyDescent="0.25">
      <c r="A74" s="1" t="s">
        <v>110</v>
      </c>
      <c r="B74" s="2">
        <v>45800</v>
      </c>
      <c r="C74" s="1" t="s">
        <v>34</v>
      </c>
      <c r="D74" s="1" t="s">
        <v>35</v>
      </c>
      <c r="E74" s="1" t="s">
        <v>27</v>
      </c>
      <c r="F74" s="1" t="s">
        <v>42</v>
      </c>
      <c r="G74" s="1" t="s">
        <v>36</v>
      </c>
      <c r="H74">
        <v>31.21</v>
      </c>
      <c r="I74">
        <v>3</v>
      </c>
      <c r="J74">
        <v>93.63</v>
      </c>
      <c r="K74" t="str">
        <f t="shared" si="1"/>
        <v>May</v>
      </c>
    </row>
    <row r="75" spans="1:11" x14ac:dyDescent="0.25">
      <c r="A75" s="1" t="s">
        <v>111</v>
      </c>
      <c r="B75" s="2">
        <v>46005</v>
      </c>
      <c r="C75" s="1" t="s">
        <v>34</v>
      </c>
      <c r="D75" s="1" t="s">
        <v>22</v>
      </c>
      <c r="E75" s="1" t="s">
        <v>45</v>
      </c>
      <c r="F75" s="1" t="s">
        <v>32</v>
      </c>
      <c r="G75" s="1" t="s">
        <v>15</v>
      </c>
      <c r="H75">
        <v>209.4</v>
      </c>
      <c r="I75">
        <v>18</v>
      </c>
      <c r="J75">
        <v>3769.2</v>
      </c>
      <c r="K75" t="str">
        <f t="shared" si="1"/>
        <v>December</v>
      </c>
    </row>
    <row r="76" spans="1:11" x14ac:dyDescent="0.25">
      <c r="A76" s="1" t="s">
        <v>112</v>
      </c>
      <c r="B76" s="2">
        <v>45955</v>
      </c>
      <c r="C76" s="1" t="s">
        <v>11</v>
      </c>
      <c r="D76" s="1" t="s">
        <v>22</v>
      </c>
      <c r="E76" s="1" t="s">
        <v>18</v>
      </c>
      <c r="F76" s="1" t="s">
        <v>61</v>
      </c>
      <c r="G76" s="1" t="s">
        <v>36</v>
      </c>
      <c r="H76">
        <v>185.51</v>
      </c>
      <c r="I76">
        <v>9</v>
      </c>
      <c r="J76">
        <v>1669.59</v>
      </c>
      <c r="K76" t="str">
        <f t="shared" si="1"/>
        <v>October</v>
      </c>
    </row>
    <row r="77" spans="1:11" x14ac:dyDescent="0.25">
      <c r="A77" s="1" t="s">
        <v>113</v>
      </c>
      <c r="B77" s="2">
        <v>45818</v>
      </c>
      <c r="C77" s="1" t="s">
        <v>25</v>
      </c>
      <c r="D77" s="1" t="s">
        <v>55</v>
      </c>
      <c r="E77" s="1" t="s">
        <v>45</v>
      </c>
      <c r="F77" s="1" t="s">
        <v>61</v>
      </c>
      <c r="G77" s="1" t="s">
        <v>20</v>
      </c>
      <c r="H77">
        <v>190.38</v>
      </c>
      <c r="I77">
        <v>14</v>
      </c>
      <c r="J77">
        <v>2665.32</v>
      </c>
      <c r="K77" t="str">
        <f t="shared" si="1"/>
        <v>June</v>
      </c>
    </row>
    <row r="78" spans="1:11" x14ac:dyDescent="0.25">
      <c r="A78" s="1" t="s">
        <v>114</v>
      </c>
      <c r="B78" s="2">
        <v>45755</v>
      </c>
      <c r="C78" s="1" t="s">
        <v>11</v>
      </c>
      <c r="D78" s="1" t="s">
        <v>12</v>
      </c>
      <c r="E78" s="1" t="s">
        <v>41</v>
      </c>
      <c r="F78" s="1" t="s">
        <v>19</v>
      </c>
      <c r="G78" s="1" t="s">
        <v>20</v>
      </c>
      <c r="H78">
        <v>199.68</v>
      </c>
      <c r="I78">
        <v>9</v>
      </c>
      <c r="J78">
        <v>1797.12</v>
      </c>
      <c r="K78" t="str">
        <f t="shared" si="1"/>
        <v>April</v>
      </c>
    </row>
    <row r="79" spans="1:11" x14ac:dyDescent="0.25">
      <c r="A79" s="1" t="s">
        <v>115</v>
      </c>
      <c r="B79" s="2">
        <v>45933</v>
      </c>
      <c r="C79" s="1" t="s">
        <v>34</v>
      </c>
      <c r="D79" s="1" t="s">
        <v>31</v>
      </c>
      <c r="E79" s="1" t="s">
        <v>45</v>
      </c>
      <c r="F79" s="1" t="s">
        <v>28</v>
      </c>
      <c r="G79" s="1" t="s">
        <v>36</v>
      </c>
      <c r="H79">
        <v>46.29</v>
      </c>
      <c r="I79">
        <v>7</v>
      </c>
      <c r="J79">
        <v>324.02999999999997</v>
      </c>
      <c r="K79" t="str">
        <f t="shared" si="1"/>
        <v>October</v>
      </c>
    </row>
    <row r="80" spans="1:11" x14ac:dyDescent="0.25">
      <c r="A80" s="1" t="s">
        <v>116</v>
      </c>
      <c r="B80" s="2">
        <v>45977</v>
      </c>
      <c r="C80" s="1" t="s">
        <v>17</v>
      </c>
      <c r="D80" s="1" t="s">
        <v>22</v>
      </c>
      <c r="E80" s="1" t="s">
        <v>27</v>
      </c>
      <c r="F80" s="1" t="s">
        <v>32</v>
      </c>
      <c r="G80" s="1" t="s">
        <v>20</v>
      </c>
      <c r="H80">
        <v>108.86</v>
      </c>
      <c r="I80">
        <v>11</v>
      </c>
      <c r="J80">
        <v>1197.46</v>
      </c>
      <c r="K80" t="str">
        <f t="shared" si="1"/>
        <v>November</v>
      </c>
    </row>
    <row r="81" spans="1:11" x14ac:dyDescent="0.25">
      <c r="A81" s="1" t="s">
        <v>117</v>
      </c>
      <c r="B81" s="2">
        <v>45816</v>
      </c>
      <c r="C81" s="1" t="s">
        <v>34</v>
      </c>
      <c r="D81" s="1" t="s">
        <v>31</v>
      </c>
      <c r="E81" s="1" t="s">
        <v>27</v>
      </c>
      <c r="F81" s="1" t="s">
        <v>32</v>
      </c>
      <c r="G81" s="1" t="s">
        <v>20</v>
      </c>
      <c r="H81">
        <v>55.49</v>
      </c>
      <c r="I81">
        <v>14</v>
      </c>
      <c r="J81">
        <v>776.86</v>
      </c>
      <c r="K81" t="str">
        <f t="shared" si="1"/>
        <v>June</v>
      </c>
    </row>
    <row r="82" spans="1:11" x14ac:dyDescent="0.25">
      <c r="A82" s="1" t="s">
        <v>118</v>
      </c>
      <c r="B82" s="2">
        <v>45723</v>
      </c>
      <c r="C82" s="1" t="s">
        <v>38</v>
      </c>
      <c r="D82" s="1" t="s">
        <v>12</v>
      </c>
      <c r="E82" s="1" t="s">
        <v>41</v>
      </c>
      <c r="F82" s="1" t="s">
        <v>28</v>
      </c>
      <c r="G82" s="1" t="s">
        <v>20</v>
      </c>
      <c r="H82">
        <v>219.88</v>
      </c>
      <c r="I82">
        <v>7</v>
      </c>
      <c r="J82">
        <v>1539.16</v>
      </c>
      <c r="K82" t="str">
        <f t="shared" si="1"/>
        <v>March</v>
      </c>
    </row>
    <row r="83" spans="1:11" x14ac:dyDescent="0.25">
      <c r="A83" s="1" t="s">
        <v>119</v>
      </c>
      <c r="B83" s="2">
        <v>45747</v>
      </c>
      <c r="C83" s="1" t="s">
        <v>25</v>
      </c>
      <c r="D83" s="1" t="s">
        <v>35</v>
      </c>
      <c r="E83" s="1" t="s">
        <v>41</v>
      </c>
      <c r="F83" s="1" t="s">
        <v>42</v>
      </c>
      <c r="G83" s="1" t="s">
        <v>15</v>
      </c>
      <c r="H83">
        <v>167.13</v>
      </c>
      <c r="I83">
        <v>20</v>
      </c>
      <c r="J83">
        <v>3342.6</v>
      </c>
      <c r="K83" t="str">
        <f t="shared" si="1"/>
        <v>March</v>
      </c>
    </row>
    <row r="84" spans="1:11" x14ac:dyDescent="0.25">
      <c r="A84" s="1" t="s">
        <v>120</v>
      </c>
      <c r="B84" s="2">
        <v>45813</v>
      </c>
      <c r="C84" s="1" t="s">
        <v>30</v>
      </c>
      <c r="D84" s="1" t="s">
        <v>31</v>
      </c>
      <c r="E84" s="1" t="s">
        <v>18</v>
      </c>
      <c r="F84" s="1" t="s">
        <v>42</v>
      </c>
      <c r="G84" s="1" t="s">
        <v>20</v>
      </c>
      <c r="H84">
        <v>102.8</v>
      </c>
      <c r="I84">
        <v>10</v>
      </c>
      <c r="J84">
        <v>1028</v>
      </c>
      <c r="K84" t="str">
        <f t="shared" si="1"/>
        <v>June</v>
      </c>
    </row>
    <row r="85" spans="1:11" x14ac:dyDescent="0.25">
      <c r="A85" s="1" t="s">
        <v>121</v>
      </c>
      <c r="B85" s="2">
        <v>45822</v>
      </c>
      <c r="C85" s="1" t="s">
        <v>38</v>
      </c>
      <c r="D85" s="1" t="s">
        <v>31</v>
      </c>
      <c r="E85" s="1" t="s">
        <v>27</v>
      </c>
      <c r="F85" s="1" t="s">
        <v>14</v>
      </c>
      <c r="G85" s="1" t="s">
        <v>20</v>
      </c>
      <c r="H85">
        <v>43.98</v>
      </c>
      <c r="I85">
        <v>15</v>
      </c>
      <c r="J85">
        <v>659.7</v>
      </c>
      <c r="K85" t="str">
        <f t="shared" si="1"/>
        <v>June</v>
      </c>
    </row>
    <row r="86" spans="1:11" x14ac:dyDescent="0.25">
      <c r="A86" s="1" t="s">
        <v>122</v>
      </c>
      <c r="B86" s="2">
        <v>45900</v>
      </c>
      <c r="C86" s="1" t="s">
        <v>17</v>
      </c>
      <c r="D86" s="1" t="s">
        <v>22</v>
      </c>
      <c r="E86" s="1" t="s">
        <v>13</v>
      </c>
      <c r="F86" s="1" t="s">
        <v>42</v>
      </c>
      <c r="G86" s="1" t="s">
        <v>20</v>
      </c>
      <c r="H86">
        <v>98.42</v>
      </c>
      <c r="I86">
        <v>6</v>
      </c>
      <c r="J86">
        <v>590.52</v>
      </c>
      <c r="K86" t="str">
        <f t="shared" si="1"/>
        <v>August</v>
      </c>
    </row>
    <row r="87" spans="1:11" x14ac:dyDescent="0.25">
      <c r="A87" s="1" t="s">
        <v>123</v>
      </c>
      <c r="B87" s="2">
        <v>45982</v>
      </c>
      <c r="C87" s="1" t="s">
        <v>34</v>
      </c>
      <c r="D87" s="1" t="s">
        <v>22</v>
      </c>
      <c r="E87" s="1" t="s">
        <v>23</v>
      </c>
      <c r="F87" s="1" t="s">
        <v>28</v>
      </c>
      <c r="G87" s="1" t="s">
        <v>36</v>
      </c>
      <c r="H87">
        <v>101.54</v>
      </c>
      <c r="I87">
        <v>20</v>
      </c>
      <c r="J87">
        <v>2030.8</v>
      </c>
      <c r="K87" t="str">
        <f t="shared" si="1"/>
        <v>November</v>
      </c>
    </row>
    <row r="88" spans="1:11" x14ac:dyDescent="0.25">
      <c r="A88" s="1" t="s">
        <v>124</v>
      </c>
      <c r="B88" s="2">
        <v>45773</v>
      </c>
      <c r="C88" s="1" t="s">
        <v>30</v>
      </c>
      <c r="D88" s="1" t="s">
        <v>22</v>
      </c>
      <c r="E88" s="1" t="s">
        <v>45</v>
      </c>
      <c r="F88" s="1" t="s">
        <v>14</v>
      </c>
      <c r="G88" s="1" t="s">
        <v>36</v>
      </c>
      <c r="H88">
        <v>190.51</v>
      </c>
      <c r="I88">
        <v>7</v>
      </c>
      <c r="J88">
        <v>1333.57</v>
      </c>
      <c r="K88" t="str">
        <f t="shared" si="1"/>
        <v>April</v>
      </c>
    </row>
    <row r="89" spans="1:11" x14ac:dyDescent="0.25">
      <c r="A89" s="1" t="s">
        <v>125</v>
      </c>
      <c r="B89" s="2">
        <v>45970</v>
      </c>
      <c r="C89" s="1" t="s">
        <v>38</v>
      </c>
      <c r="D89" s="1" t="s">
        <v>31</v>
      </c>
      <c r="E89" s="1" t="s">
        <v>27</v>
      </c>
      <c r="F89" s="1" t="s">
        <v>42</v>
      </c>
      <c r="G89" s="1" t="s">
        <v>15</v>
      </c>
      <c r="H89">
        <v>170.26</v>
      </c>
      <c r="I89">
        <v>3</v>
      </c>
      <c r="J89">
        <v>510.78</v>
      </c>
      <c r="K89" t="str">
        <f t="shared" si="1"/>
        <v>November</v>
      </c>
    </row>
    <row r="90" spans="1:11" x14ac:dyDescent="0.25">
      <c r="A90" s="1" t="s">
        <v>126</v>
      </c>
      <c r="B90" s="2">
        <v>46014</v>
      </c>
      <c r="C90" s="1" t="s">
        <v>38</v>
      </c>
      <c r="D90" s="1" t="s">
        <v>31</v>
      </c>
      <c r="E90" s="1" t="s">
        <v>23</v>
      </c>
      <c r="F90" s="1" t="s">
        <v>14</v>
      </c>
      <c r="G90" s="1" t="s">
        <v>20</v>
      </c>
      <c r="H90">
        <v>225.19</v>
      </c>
      <c r="I90">
        <v>13</v>
      </c>
      <c r="J90">
        <v>2927.47</v>
      </c>
      <c r="K90" t="str">
        <f t="shared" si="1"/>
        <v>December</v>
      </c>
    </row>
    <row r="91" spans="1:11" x14ac:dyDescent="0.25">
      <c r="A91" s="1" t="s">
        <v>127</v>
      </c>
      <c r="B91" s="2">
        <v>46010</v>
      </c>
      <c r="C91" s="1" t="s">
        <v>11</v>
      </c>
      <c r="D91" s="1" t="s">
        <v>31</v>
      </c>
      <c r="E91" s="1" t="s">
        <v>23</v>
      </c>
      <c r="F91" s="1" t="s">
        <v>14</v>
      </c>
      <c r="G91" s="1" t="s">
        <v>20</v>
      </c>
      <c r="H91">
        <v>133.88999999999999</v>
      </c>
      <c r="I91">
        <v>1</v>
      </c>
      <c r="J91">
        <v>133.88999999999999</v>
      </c>
      <c r="K91" t="str">
        <f t="shared" si="1"/>
        <v>December</v>
      </c>
    </row>
    <row r="92" spans="1:11" x14ac:dyDescent="0.25">
      <c r="A92" s="1" t="s">
        <v>128</v>
      </c>
      <c r="B92" s="2">
        <v>45923</v>
      </c>
      <c r="C92" s="1" t="s">
        <v>11</v>
      </c>
      <c r="D92" s="1" t="s">
        <v>55</v>
      </c>
      <c r="E92" s="1" t="s">
        <v>23</v>
      </c>
      <c r="F92" s="1" t="s">
        <v>39</v>
      </c>
      <c r="G92" s="1" t="s">
        <v>15</v>
      </c>
      <c r="H92">
        <v>56.31</v>
      </c>
      <c r="I92">
        <v>15</v>
      </c>
      <c r="J92">
        <v>844.65</v>
      </c>
      <c r="K92" t="str">
        <f t="shared" si="1"/>
        <v>September</v>
      </c>
    </row>
    <row r="93" spans="1:11" x14ac:dyDescent="0.25">
      <c r="A93" s="1" t="s">
        <v>129</v>
      </c>
      <c r="B93" s="2">
        <v>45891</v>
      </c>
      <c r="C93" s="1" t="s">
        <v>38</v>
      </c>
      <c r="D93" s="1" t="s">
        <v>12</v>
      </c>
      <c r="E93" s="1" t="s">
        <v>18</v>
      </c>
      <c r="F93" s="1" t="s">
        <v>42</v>
      </c>
      <c r="G93" s="1" t="s">
        <v>20</v>
      </c>
      <c r="H93">
        <v>186.91</v>
      </c>
      <c r="I93">
        <v>5</v>
      </c>
      <c r="J93">
        <v>934.55</v>
      </c>
      <c r="K93" t="str">
        <f t="shared" si="1"/>
        <v>August</v>
      </c>
    </row>
    <row r="94" spans="1:11" x14ac:dyDescent="0.25">
      <c r="A94" s="1" t="s">
        <v>130</v>
      </c>
      <c r="B94" s="2">
        <v>45820</v>
      </c>
      <c r="C94" s="1" t="s">
        <v>25</v>
      </c>
      <c r="D94" s="1" t="s">
        <v>12</v>
      </c>
      <c r="E94" s="1" t="s">
        <v>18</v>
      </c>
      <c r="F94" s="1" t="s">
        <v>61</v>
      </c>
      <c r="G94" s="1" t="s">
        <v>20</v>
      </c>
      <c r="H94">
        <v>197.37</v>
      </c>
      <c r="I94">
        <v>15</v>
      </c>
      <c r="J94">
        <v>2960.55</v>
      </c>
      <c r="K94" t="str">
        <f t="shared" si="1"/>
        <v>June</v>
      </c>
    </row>
    <row r="95" spans="1:11" x14ac:dyDescent="0.25">
      <c r="A95" s="1" t="s">
        <v>131</v>
      </c>
      <c r="B95" s="2">
        <v>45886</v>
      </c>
      <c r="C95" s="1" t="s">
        <v>17</v>
      </c>
      <c r="D95" s="1" t="s">
        <v>31</v>
      </c>
      <c r="E95" s="1" t="s">
        <v>41</v>
      </c>
      <c r="F95" s="1" t="s">
        <v>32</v>
      </c>
      <c r="G95" s="1" t="s">
        <v>15</v>
      </c>
      <c r="H95">
        <v>153.47999999999999</v>
      </c>
      <c r="I95">
        <v>6</v>
      </c>
      <c r="J95">
        <v>920.88</v>
      </c>
      <c r="K95" t="str">
        <f t="shared" si="1"/>
        <v>August</v>
      </c>
    </row>
    <row r="96" spans="1:11" x14ac:dyDescent="0.25">
      <c r="A96" s="1" t="s">
        <v>132</v>
      </c>
      <c r="B96" s="2">
        <v>45984</v>
      </c>
      <c r="C96" s="1" t="s">
        <v>25</v>
      </c>
      <c r="D96" s="1" t="s">
        <v>31</v>
      </c>
      <c r="E96" s="1" t="s">
        <v>27</v>
      </c>
      <c r="F96" s="1" t="s">
        <v>14</v>
      </c>
      <c r="G96" s="1" t="s">
        <v>36</v>
      </c>
      <c r="H96">
        <v>199.61</v>
      </c>
      <c r="I96">
        <v>9</v>
      </c>
      <c r="J96">
        <v>1796.49</v>
      </c>
      <c r="K96" t="str">
        <f t="shared" si="1"/>
        <v>November</v>
      </c>
    </row>
    <row r="97" spans="1:11" x14ac:dyDescent="0.25">
      <c r="A97" s="1" t="s">
        <v>133</v>
      </c>
      <c r="B97" s="2">
        <v>45883</v>
      </c>
      <c r="C97" s="1" t="s">
        <v>17</v>
      </c>
      <c r="D97" s="1" t="s">
        <v>35</v>
      </c>
      <c r="E97" s="1" t="s">
        <v>23</v>
      </c>
      <c r="F97" s="1" t="s">
        <v>32</v>
      </c>
      <c r="G97" s="1" t="s">
        <v>36</v>
      </c>
      <c r="H97">
        <v>138.63999999999999</v>
      </c>
      <c r="I97">
        <v>3</v>
      </c>
      <c r="J97">
        <v>415.92</v>
      </c>
      <c r="K97" t="str">
        <f t="shared" si="1"/>
        <v>August</v>
      </c>
    </row>
    <row r="98" spans="1:11" x14ac:dyDescent="0.25">
      <c r="A98" s="1" t="s">
        <v>134</v>
      </c>
      <c r="B98" s="2">
        <v>45821</v>
      </c>
      <c r="C98" s="1" t="s">
        <v>11</v>
      </c>
      <c r="D98" s="1" t="s">
        <v>26</v>
      </c>
      <c r="E98" s="1" t="s">
        <v>23</v>
      </c>
      <c r="F98" s="1" t="s">
        <v>14</v>
      </c>
      <c r="G98" s="1" t="s">
        <v>36</v>
      </c>
      <c r="H98">
        <v>145</v>
      </c>
      <c r="I98">
        <v>18</v>
      </c>
      <c r="J98">
        <v>2610</v>
      </c>
      <c r="K98" t="str">
        <f t="shared" si="1"/>
        <v>June</v>
      </c>
    </row>
    <row r="99" spans="1:11" x14ac:dyDescent="0.25">
      <c r="A99" s="1" t="s">
        <v>135</v>
      </c>
      <c r="B99" s="2">
        <v>46013</v>
      </c>
      <c r="C99" s="1" t="s">
        <v>17</v>
      </c>
      <c r="D99" s="1" t="s">
        <v>26</v>
      </c>
      <c r="E99" s="1" t="s">
        <v>45</v>
      </c>
      <c r="F99" s="1" t="s">
        <v>61</v>
      </c>
      <c r="G99" s="1" t="s">
        <v>36</v>
      </c>
      <c r="H99">
        <v>124.06</v>
      </c>
      <c r="I99">
        <v>5</v>
      </c>
      <c r="J99">
        <v>620.29999999999995</v>
      </c>
      <c r="K99" t="str">
        <f t="shared" si="1"/>
        <v>December</v>
      </c>
    </row>
    <row r="100" spans="1:11" x14ac:dyDescent="0.25">
      <c r="A100" s="1" t="s">
        <v>136</v>
      </c>
      <c r="B100" s="2">
        <v>45827</v>
      </c>
      <c r="C100" s="1" t="s">
        <v>38</v>
      </c>
      <c r="D100" s="1" t="s">
        <v>31</v>
      </c>
      <c r="E100" s="1" t="s">
        <v>45</v>
      </c>
      <c r="F100" s="1" t="s">
        <v>14</v>
      </c>
      <c r="G100" s="1" t="s">
        <v>36</v>
      </c>
      <c r="H100">
        <v>35.590000000000003</v>
      </c>
      <c r="I100">
        <v>18</v>
      </c>
      <c r="J100">
        <v>640.62</v>
      </c>
      <c r="K100" t="str">
        <f t="shared" si="1"/>
        <v>June</v>
      </c>
    </row>
    <row r="101" spans="1:11" x14ac:dyDescent="0.25">
      <c r="A101" s="1" t="s">
        <v>137</v>
      </c>
      <c r="B101" s="2">
        <v>45857</v>
      </c>
      <c r="C101" s="1" t="s">
        <v>17</v>
      </c>
      <c r="D101" s="1" t="s">
        <v>22</v>
      </c>
      <c r="E101" s="1" t="s">
        <v>18</v>
      </c>
      <c r="F101" s="1" t="s">
        <v>61</v>
      </c>
      <c r="G101" s="1" t="s">
        <v>36</v>
      </c>
      <c r="H101">
        <v>53.74</v>
      </c>
      <c r="I101">
        <v>19</v>
      </c>
      <c r="J101">
        <v>1021.06</v>
      </c>
      <c r="K101" t="str">
        <f t="shared" si="1"/>
        <v>July</v>
      </c>
    </row>
    <row r="102" spans="1:11" x14ac:dyDescent="0.25">
      <c r="A102" s="1" t="s">
        <v>138</v>
      </c>
      <c r="B102" s="2">
        <v>45661</v>
      </c>
      <c r="C102" s="1" t="s">
        <v>34</v>
      </c>
      <c r="D102" s="1" t="s">
        <v>31</v>
      </c>
      <c r="E102" s="1" t="s">
        <v>41</v>
      </c>
      <c r="F102" s="1" t="s">
        <v>42</v>
      </c>
      <c r="G102" s="1" t="s">
        <v>20</v>
      </c>
      <c r="H102">
        <v>36.909999999999997</v>
      </c>
      <c r="I102">
        <v>12</v>
      </c>
      <c r="J102">
        <v>442.92</v>
      </c>
      <c r="K102" t="str">
        <f t="shared" si="1"/>
        <v>January</v>
      </c>
    </row>
    <row r="103" spans="1:11" x14ac:dyDescent="0.25">
      <c r="A103" s="1" t="s">
        <v>139</v>
      </c>
      <c r="B103" s="2">
        <v>45937</v>
      </c>
      <c r="C103" s="1" t="s">
        <v>30</v>
      </c>
      <c r="D103" s="1" t="s">
        <v>31</v>
      </c>
      <c r="E103" s="1" t="s">
        <v>23</v>
      </c>
      <c r="F103" s="1" t="s">
        <v>32</v>
      </c>
      <c r="G103" s="1" t="s">
        <v>36</v>
      </c>
      <c r="H103">
        <v>170.01</v>
      </c>
      <c r="I103">
        <v>20</v>
      </c>
      <c r="J103">
        <v>3400.2</v>
      </c>
      <c r="K103" t="str">
        <f t="shared" si="1"/>
        <v>October</v>
      </c>
    </row>
    <row r="104" spans="1:11" x14ac:dyDescent="0.25">
      <c r="A104" s="1" t="s">
        <v>140</v>
      </c>
      <c r="B104" s="2">
        <v>45906</v>
      </c>
      <c r="C104" s="1" t="s">
        <v>38</v>
      </c>
      <c r="D104" s="1" t="s">
        <v>35</v>
      </c>
      <c r="E104" s="1" t="s">
        <v>27</v>
      </c>
      <c r="F104" s="1" t="s">
        <v>28</v>
      </c>
      <c r="G104" s="1" t="s">
        <v>36</v>
      </c>
      <c r="H104">
        <v>99.16</v>
      </c>
      <c r="I104">
        <v>1</v>
      </c>
      <c r="J104">
        <v>99.16</v>
      </c>
      <c r="K104" t="str">
        <f t="shared" si="1"/>
        <v>September</v>
      </c>
    </row>
    <row r="105" spans="1:11" x14ac:dyDescent="0.25">
      <c r="A105" s="1" t="s">
        <v>141</v>
      </c>
      <c r="B105" s="2">
        <v>45742</v>
      </c>
      <c r="C105" s="1" t="s">
        <v>30</v>
      </c>
      <c r="D105" s="1" t="s">
        <v>55</v>
      </c>
      <c r="E105" s="1" t="s">
        <v>18</v>
      </c>
      <c r="F105" s="1" t="s">
        <v>19</v>
      </c>
      <c r="G105" s="1" t="s">
        <v>36</v>
      </c>
      <c r="H105">
        <v>141.88999999999999</v>
      </c>
      <c r="I105">
        <v>15</v>
      </c>
      <c r="J105">
        <v>2128.35</v>
      </c>
      <c r="K105" t="str">
        <f t="shared" si="1"/>
        <v>March</v>
      </c>
    </row>
    <row r="106" spans="1:11" x14ac:dyDescent="0.25">
      <c r="A106" s="1" t="s">
        <v>142</v>
      </c>
      <c r="B106" s="2">
        <v>45961</v>
      </c>
      <c r="C106" s="1" t="s">
        <v>17</v>
      </c>
      <c r="D106" s="1" t="s">
        <v>22</v>
      </c>
      <c r="E106" s="1" t="s">
        <v>45</v>
      </c>
      <c r="F106" s="1" t="s">
        <v>28</v>
      </c>
      <c r="G106" s="1" t="s">
        <v>36</v>
      </c>
      <c r="H106">
        <v>229.66</v>
      </c>
      <c r="I106">
        <v>19</v>
      </c>
      <c r="J106">
        <v>4363.54</v>
      </c>
      <c r="K106" t="str">
        <f t="shared" si="1"/>
        <v>October</v>
      </c>
    </row>
    <row r="107" spans="1:11" x14ac:dyDescent="0.25">
      <c r="A107" s="1" t="s">
        <v>143</v>
      </c>
      <c r="B107" s="2">
        <v>45727</v>
      </c>
      <c r="C107" s="1" t="s">
        <v>30</v>
      </c>
      <c r="D107" s="1" t="s">
        <v>22</v>
      </c>
      <c r="E107" s="1" t="s">
        <v>13</v>
      </c>
      <c r="F107" s="1" t="s">
        <v>61</v>
      </c>
      <c r="G107" s="1" t="s">
        <v>36</v>
      </c>
      <c r="H107">
        <v>84.84</v>
      </c>
      <c r="I107">
        <v>15</v>
      </c>
      <c r="J107">
        <v>1272.5999999999999</v>
      </c>
      <c r="K107" t="str">
        <f t="shared" si="1"/>
        <v>March</v>
      </c>
    </row>
    <row r="108" spans="1:11" x14ac:dyDescent="0.25">
      <c r="A108" s="1" t="s">
        <v>144</v>
      </c>
      <c r="B108" s="2">
        <v>45766</v>
      </c>
      <c r="C108" s="1" t="s">
        <v>34</v>
      </c>
      <c r="D108" s="1" t="s">
        <v>35</v>
      </c>
      <c r="E108" s="1" t="s">
        <v>41</v>
      </c>
      <c r="F108" s="1" t="s">
        <v>32</v>
      </c>
      <c r="G108" s="1" t="s">
        <v>36</v>
      </c>
      <c r="H108">
        <v>120.28</v>
      </c>
      <c r="I108">
        <v>15</v>
      </c>
      <c r="J108">
        <v>1804.2</v>
      </c>
      <c r="K108" t="str">
        <f t="shared" si="1"/>
        <v>April</v>
      </c>
    </row>
    <row r="109" spans="1:11" x14ac:dyDescent="0.25">
      <c r="A109" s="1" t="s">
        <v>145</v>
      </c>
      <c r="B109" s="2">
        <v>45787</v>
      </c>
      <c r="C109" s="1" t="s">
        <v>38</v>
      </c>
      <c r="D109" s="1" t="s">
        <v>22</v>
      </c>
      <c r="E109" s="1" t="s">
        <v>27</v>
      </c>
      <c r="F109" s="1" t="s">
        <v>42</v>
      </c>
      <c r="G109" s="1" t="s">
        <v>15</v>
      </c>
      <c r="H109">
        <v>196.22</v>
      </c>
      <c r="I109">
        <v>3</v>
      </c>
      <c r="J109">
        <v>588.66</v>
      </c>
      <c r="K109" t="str">
        <f t="shared" si="1"/>
        <v>May</v>
      </c>
    </row>
    <row r="110" spans="1:11" x14ac:dyDescent="0.25">
      <c r="A110" s="1" t="s">
        <v>146</v>
      </c>
      <c r="B110" s="2">
        <v>45837</v>
      </c>
      <c r="C110" s="1" t="s">
        <v>17</v>
      </c>
      <c r="D110" s="1" t="s">
        <v>22</v>
      </c>
      <c r="E110" s="1" t="s">
        <v>27</v>
      </c>
      <c r="F110" s="1" t="s">
        <v>19</v>
      </c>
      <c r="G110" s="1" t="s">
        <v>15</v>
      </c>
      <c r="H110">
        <v>80.34</v>
      </c>
      <c r="I110">
        <v>8</v>
      </c>
      <c r="J110">
        <v>642.72</v>
      </c>
      <c r="K110" t="str">
        <f t="shared" si="1"/>
        <v>June</v>
      </c>
    </row>
    <row r="111" spans="1:11" x14ac:dyDescent="0.25">
      <c r="A111" s="1" t="s">
        <v>147</v>
      </c>
      <c r="B111" s="2">
        <v>45784</v>
      </c>
      <c r="C111" s="1" t="s">
        <v>11</v>
      </c>
      <c r="D111" s="1" t="s">
        <v>55</v>
      </c>
      <c r="E111" s="1" t="s">
        <v>23</v>
      </c>
      <c r="F111" s="1" t="s">
        <v>14</v>
      </c>
      <c r="G111" s="1" t="s">
        <v>15</v>
      </c>
      <c r="H111">
        <v>46.94</v>
      </c>
      <c r="I111">
        <v>7</v>
      </c>
      <c r="J111">
        <v>328.58</v>
      </c>
      <c r="K111" t="str">
        <f t="shared" si="1"/>
        <v>May</v>
      </c>
    </row>
    <row r="112" spans="1:11" x14ac:dyDescent="0.25">
      <c r="A112" s="1" t="s">
        <v>148</v>
      </c>
      <c r="B112" s="2">
        <v>45900</v>
      </c>
      <c r="C112" s="1" t="s">
        <v>25</v>
      </c>
      <c r="D112" s="1" t="s">
        <v>26</v>
      </c>
      <c r="E112" s="1" t="s">
        <v>41</v>
      </c>
      <c r="F112" s="1" t="s">
        <v>28</v>
      </c>
      <c r="G112" s="1" t="s">
        <v>36</v>
      </c>
      <c r="H112">
        <v>93.75</v>
      </c>
      <c r="I112">
        <v>4</v>
      </c>
      <c r="J112">
        <v>375</v>
      </c>
      <c r="K112" t="str">
        <f t="shared" si="1"/>
        <v>August</v>
      </c>
    </row>
    <row r="113" spans="1:11" x14ac:dyDescent="0.25">
      <c r="A113" s="1" t="s">
        <v>149</v>
      </c>
      <c r="B113" s="2">
        <v>45846</v>
      </c>
      <c r="C113" s="1" t="s">
        <v>25</v>
      </c>
      <c r="D113" s="1" t="s">
        <v>55</v>
      </c>
      <c r="E113" s="1" t="s">
        <v>27</v>
      </c>
      <c r="F113" s="1" t="s">
        <v>28</v>
      </c>
      <c r="G113" s="1" t="s">
        <v>15</v>
      </c>
      <c r="H113">
        <v>65.47</v>
      </c>
      <c r="I113">
        <v>6</v>
      </c>
      <c r="J113">
        <v>392.82</v>
      </c>
      <c r="K113" t="str">
        <f t="shared" si="1"/>
        <v>July</v>
      </c>
    </row>
    <row r="114" spans="1:11" x14ac:dyDescent="0.25">
      <c r="A114" s="1" t="s">
        <v>150</v>
      </c>
      <c r="B114" s="2">
        <v>45741</v>
      </c>
      <c r="C114" s="1" t="s">
        <v>11</v>
      </c>
      <c r="D114" s="1" t="s">
        <v>55</v>
      </c>
      <c r="E114" s="1" t="s">
        <v>45</v>
      </c>
      <c r="F114" s="1" t="s">
        <v>32</v>
      </c>
      <c r="G114" s="1" t="s">
        <v>20</v>
      </c>
      <c r="H114">
        <v>234.53</v>
      </c>
      <c r="I114">
        <v>10</v>
      </c>
      <c r="J114">
        <v>2345.3000000000002</v>
      </c>
      <c r="K114" t="str">
        <f t="shared" si="1"/>
        <v>March</v>
      </c>
    </row>
    <row r="115" spans="1:11" x14ac:dyDescent="0.25">
      <c r="A115" s="1" t="s">
        <v>151</v>
      </c>
      <c r="B115" s="2">
        <v>46004</v>
      </c>
      <c r="C115" s="1" t="s">
        <v>38</v>
      </c>
      <c r="D115" s="1" t="s">
        <v>12</v>
      </c>
      <c r="E115" s="1" t="s">
        <v>23</v>
      </c>
      <c r="F115" s="1" t="s">
        <v>19</v>
      </c>
      <c r="G115" s="1" t="s">
        <v>20</v>
      </c>
      <c r="H115">
        <v>207.79</v>
      </c>
      <c r="I115">
        <v>13</v>
      </c>
      <c r="J115">
        <v>2701.27</v>
      </c>
      <c r="K115" t="str">
        <f t="shared" si="1"/>
        <v>December</v>
      </c>
    </row>
    <row r="116" spans="1:11" x14ac:dyDescent="0.25">
      <c r="A116" s="1" t="s">
        <v>152</v>
      </c>
      <c r="B116" s="2">
        <v>46011</v>
      </c>
      <c r="C116" s="1" t="s">
        <v>11</v>
      </c>
      <c r="D116" s="1" t="s">
        <v>12</v>
      </c>
      <c r="E116" s="1" t="s">
        <v>13</v>
      </c>
      <c r="F116" s="1" t="s">
        <v>39</v>
      </c>
      <c r="G116" s="1" t="s">
        <v>20</v>
      </c>
      <c r="H116">
        <v>169.35</v>
      </c>
      <c r="I116">
        <v>8</v>
      </c>
      <c r="J116">
        <v>1354.8</v>
      </c>
      <c r="K116" t="str">
        <f t="shared" si="1"/>
        <v>December</v>
      </c>
    </row>
    <row r="117" spans="1:11" x14ac:dyDescent="0.25">
      <c r="A117" s="1" t="s">
        <v>153</v>
      </c>
      <c r="B117" s="2">
        <v>45965</v>
      </c>
      <c r="C117" s="1" t="s">
        <v>25</v>
      </c>
      <c r="D117" s="1" t="s">
        <v>22</v>
      </c>
      <c r="E117" s="1" t="s">
        <v>13</v>
      </c>
      <c r="F117" s="1" t="s">
        <v>42</v>
      </c>
      <c r="G117" s="1" t="s">
        <v>36</v>
      </c>
      <c r="H117">
        <v>221.72</v>
      </c>
      <c r="I117">
        <v>4</v>
      </c>
      <c r="J117">
        <v>886.88</v>
      </c>
      <c r="K117" t="str">
        <f t="shared" si="1"/>
        <v>November</v>
      </c>
    </row>
    <row r="118" spans="1:11" x14ac:dyDescent="0.25">
      <c r="A118" s="1" t="s">
        <v>154</v>
      </c>
      <c r="B118" s="2">
        <v>45996</v>
      </c>
      <c r="C118" s="1" t="s">
        <v>11</v>
      </c>
      <c r="D118" s="1" t="s">
        <v>55</v>
      </c>
      <c r="E118" s="1" t="s">
        <v>27</v>
      </c>
      <c r="F118" s="1" t="s">
        <v>32</v>
      </c>
      <c r="G118" s="1" t="s">
        <v>15</v>
      </c>
      <c r="H118">
        <v>206.81</v>
      </c>
      <c r="I118">
        <v>12</v>
      </c>
      <c r="J118">
        <v>2481.7199999999998</v>
      </c>
      <c r="K118" t="str">
        <f t="shared" si="1"/>
        <v>December</v>
      </c>
    </row>
    <row r="119" spans="1:11" x14ac:dyDescent="0.25">
      <c r="A119" s="1" t="s">
        <v>155</v>
      </c>
      <c r="B119" s="2">
        <v>45873</v>
      </c>
      <c r="C119" s="1" t="s">
        <v>11</v>
      </c>
      <c r="D119" s="1" t="s">
        <v>31</v>
      </c>
      <c r="E119" s="1" t="s">
        <v>13</v>
      </c>
      <c r="F119" s="1" t="s">
        <v>28</v>
      </c>
      <c r="G119" s="1" t="s">
        <v>36</v>
      </c>
      <c r="H119">
        <v>71.05</v>
      </c>
      <c r="I119">
        <v>16</v>
      </c>
      <c r="J119">
        <v>1136.8</v>
      </c>
      <c r="K119" t="str">
        <f t="shared" si="1"/>
        <v>August</v>
      </c>
    </row>
    <row r="120" spans="1:11" x14ac:dyDescent="0.25">
      <c r="A120" s="1" t="s">
        <v>156</v>
      </c>
      <c r="B120" s="2">
        <v>46020</v>
      </c>
      <c r="C120" s="1" t="s">
        <v>38</v>
      </c>
      <c r="D120" s="1" t="s">
        <v>26</v>
      </c>
      <c r="E120" s="1" t="s">
        <v>27</v>
      </c>
      <c r="F120" s="1" t="s">
        <v>42</v>
      </c>
      <c r="G120" s="1" t="s">
        <v>20</v>
      </c>
      <c r="H120">
        <v>226.36</v>
      </c>
      <c r="I120">
        <v>5</v>
      </c>
      <c r="J120">
        <v>1131.8</v>
      </c>
      <c r="K120" t="str">
        <f t="shared" si="1"/>
        <v>December</v>
      </c>
    </row>
    <row r="121" spans="1:11" x14ac:dyDescent="0.25">
      <c r="A121" s="1" t="s">
        <v>157</v>
      </c>
      <c r="B121" s="2">
        <v>45796</v>
      </c>
      <c r="C121" s="1" t="s">
        <v>25</v>
      </c>
      <c r="D121" s="1" t="s">
        <v>31</v>
      </c>
      <c r="E121" s="1" t="s">
        <v>41</v>
      </c>
      <c r="F121" s="1" t="s">
        <v>61</v>
      </c>
      <c r="G121" s="1" t="s">
        <v>20</v>
      </c>
      <c r="H121">
        <v>148.66</v>
      </c>
      <c r="I121">
        <v>20</v>
      </c>
      <c r="J121">
        <v>2973.2</v>
      </c>
      <c r="K121" t="str">
        <f t="shared" si="1"/>
        <v>May</v>
      </c>
    </row>
    <row r="122" spans="1:11" x14ac:dyDescent="0.25">
      <c r="A122" s="1" t="s">
        <v>158</v>
      </c>
      <c r="B122" s="2">
        <v>45961</v>
      </c>
      <c r="C122" s="1" t="s">
        <v>34</v>
      </c>
      <c r="D122" s="1" t="s">
        <v>26</v>
      </c>
      <c r="E122" s="1" t="s">
        <v>45</v>
      </c>
      <c r="F122" s="1" t="s">
        <v>32</v>
      </c>
      <c r="G122" s="1" t="s">
        <v>36</v>
      </c>
      <c r="H122">
        <v>207.64</v>
      </c>
      <c r="I122">
        <v>9</v>
      </c>
      <c r="J122">
        <v>1868.76</v>
      </c>
      <c r="K122" t="str">
        <f t="shared" si="1"/>
        <v>October</v>
      </c>
    </row>
    <row r="123" spans="1:11" x14ac:dyDescent="0.25">
      <c r="A123" s="1" t="s">
        <v>159</v>
      </c>
      <c r="B123" s="2">
        <v>45782</v>
      </c>
      <c r="C123" s="1" t="s">
        <v>25</v>
      </c>
      <c r="D123" s="1" t="s">
        <v>55</v>
      </c>
      <c r="E123" s="1" t="s">
        <v>27</v>
      </c>
      <c r="F123" s="1" t="s">
        <v>61</v>
      </c>
      <c r="G123" s="1" t="s">
        <v>36</v>
      </c>
      <c r="H123">
        <v>227.14</v>
      </c>
      <c r="I123">
        <v>15</v>
      </c>
      <c r="J123">
        <v>3407.1</v>
      </c>
      <c r="K123" t="str">
        <f t="shared" si="1"/>
        <v>May</v>
      </c>
    </row>
    <row r="124" spans="1:11" x14ac:dyDescent="0.25">
      <c r="A124" s="1" t="s">
        <v>160</v>
      </c>
      <c r="B124" s="2">
        <v>45672</v>
      </c>
      <c r="C124" s="1" t="s">
        <v>34</v>
      </c>
      <c r="D124" s="1" t="s">
        <v>26</v>
      </c>
      <c r="E124" s="1" t="s">
        <v>41</v>
      </c>
      <c r="F124" s="1" t="s">
        <v>14</v>
      </c>
      <c r="G124" s="1" t="s">
        <v>36</v>
      </c>
      <c r="H124">
        <v>99.96</v>
      </c>
      <c r="I124">
        <v>16</v>
      </c>
      <c r="J124">
        <v>1599.36</v>
      </c>
      <c r="K124" t="str">
        <f t="shared" si="1"/>
        <v>January</v>
      </c>
    </row>
    <row r="125" spans="1:11" x14ac:dyDescent="0.25">
      <c r="A125" s="1" t="s">
        <v>161</v>
      </c>
      <c r="B125" s="2">
        <v>45790</v>
      </c>
      <c r="C125" s="1" t="s">
        <v>34</v>
      </c>
      <c r="D125" s="1" t="s">
        <v>55</v>
      </c>
      <c r="E125" s="1" t="s">
        <v>27</v>
      </c>
      <c r="F125" s="1" t="s">
        <v>32</v>
      </c>
      <c r="G125" s="1" t="s">
        <v>20</v>
      </c>
      <c r="H125">
        <v>54.21</v>
      </c>
      <c r="I125">
        <v>11</v>
      </c>
      <c r="J125">
        <v>596.30999999999995</v>
      </c>
      <c r="K125" t="str">
        <f t="shared" si="1"/>
        <v>May</v>
      </c>
    </row>
    <row r="126" spans="1:11" x14ac:dyDescent="0.25">
      <c r="A126" s="1" t="s">
        <v>162</v>
      </c>
      <c r="B126" s="2">
        <v>45663</v>
      </c>
      <c r="C126" s="1" t="s">
        <v>30</v>
      </c>
      <c r="D126" s="1" t="s">
        <v>22</v>
      </c>
      <c r="E126" s="1" t="s">
        <v>23</v>
      </c>
      <c r="F126" s="1" t="s">
        <v>28</v>
      </c>
      <c r="G126" s="1" t="s">
        <v>36</v>
      </c>
      <c r="H126">
        <v>80.150000000000006</v>
      </c>
      <c r="I126">
        <v>17</v>
      </c>
      <c r="J126">
        <v>1362.55</v>
      </c>
      <c r="K126" t="str">
        <f t="shared" si="1"/>
        <v>January</v>
      </c>
    </row>
    <row r="127" spans="1:11" x14ac:dyDescent="0.25">
      <c r="A127" s="1" t="s">
        <v>163</v>
      </c>
      <c r="B127" s="2">
        <v>45908</v>
      </c>
      <c r="C127" s="1" t="s">
        <v>30</v>
      </c>
      <c r="D127" s="1" t="s">
        <v>12</v>
      </c>
      <c r="E127" s="1" t="s">
        <v>41</v>
      </c>
      <c r="F127" s="1" t="s">
        <v>28</v>
      </c>
      <c r="G127" s="1" t="s">
        <v>20</v>
      </c>
      <c r="H127">
        <v>123.96</v>
      </c>
      <c r="I127">
        <v>18</v>
      </c>
      <c r="J127">
        <v>2231.2800000000002</v>
      </c>
      <c r="K127" t="str">
        <f t="shared" si="1"/>
        <v>September</v>
      </c>
    </row>
    <row r="128" spans="1:11" x14ac:dyDescent="0.25">
      <c r="A128" s="1" t="s">
        <v>164</v>
      </c>
      <c r="B128" s="2">
        <v>45909</v>
      </c>
      <c r="C128" s="1" t="s">
        <v>11</v>
      </c>
      <c r="D128" s="1" t="s">
        <v>22</v>
      </c>
      <c r="E128" s="1" t="s">
        <v>13</v>
      </c>
      <c r="F128" s="1" t="s">
        <v>14</v>
      </c>
      <c r="G128" s="1" t="s">
        <v>36</v>
      </c>
      <c r="H128">
        <v>209.96</v>
      </c>
      <c r="I128">
        <v>15</v>
      </c>
      <c r="J128">
        <v>3149.4</v>
      </c>
      <c r="K128" t="str">
        <f t="shared" si="1"/>
        <v>September</v>
      </c>
    </row>
    <row r="129" spans="1:11" x14ac:dyDescent="0.25">
      <c r="A129" s="1" t="s">
        <v>165</v>
      </c>
      <c r="B129" s="2">
        <v>46012</v>
      </c>
      <c r="C129" s="1" t="s">
        <v>34</v>
      </c>
      <c r="D129" s="1" t="s">
        <v>12</v>
      </c>
      <c r="E129" s="1" t="s">
        <v>18</v>
      </c>
      <c r="F129" s="1" t="s">
        <v>32</v>
      </c>
      <c r="G129" s="1" t="s">
        <v>36</v>
      </c>
      <c r="H129">
        <v>219.36</v>
      </c>
      <c r="I129">
        <v>8</v>
      </c>
      <c r="J129">
        <v>1754.88</v>
      </c>
      <c r="K129" t="str">
        <f t="shared" si="1"/>
        <v>December</v>
      </c>
    </row>
    <row r="130" spans="1:11" x14ac:dyDescent="0.25">
      <c r="A130" s="1" t="s">
        <v>166</v>
      </c>
      <c r="B130" s="2">
        <v>45941</v>
      </c>
      <c r="C130" s="1" t="s">
        <v>34</v>
      </c>
      <c r="D130" s="1" t="s">
        <v>31</v>
      </c>
      <c r="E130" s="1" t="s">
        <v>27</v>
      </c>
      <c r="F130" s="1" t="s">
        <v>42</v>
      </c>
      <c r="G130" s="1" t="s">
        <v>36</v>
      </c>
      <c r="H130">
        <v>31.53</v>
      </c>
      <c r="I130">
        <v>17</v>
      </c>
      <c r="J130">
        <v>536.01</v>
      </c>
      <c r="K130" t="str">
        <f t="shared" ref="K130:K193" si="2">TEXT(B:B,"MMMM")</f>
        <v>October</v>
      </c>
    </row>
    <row r="131" spans="1:11" x14ac:dyDescent="0.25">
      <c r="A131" s="1" t="s">
        <v>167</v>
      </c>
      <c r="B131" s="2">
        <v>45838</v>
      </c>
      <c r="C131" s="1" t="s">
        <v>34</v>
      </c>
      <c r="D131" s="1" t="s">
        <v>35</v>
      </c>
      <c r="E131" s="1" t="s">
        <v>13</v>
      </c>
      <c r="F131" s="1" t="s">
        <v>14</v>
      </c>
      <c r="G131" s="1" t="s">
        <v>15</v>
      </c>
      <c r="H131">
        <v>142.36000000000001</v>
      </c>
      <c r="I131">
        <v>15</v>
      </c>
      <c r="J131">
        <v>2135.4</v>
      </c>
      <c r="K131" t="str">
        <f t="shared" si="2"/>
        <v>June</v>
      </c>
    </row>
    <row r="132" spans="1:11" x14ac:dyDescent="0.25">
      <c r="A132" s="1" t="s">
        <v>168</v>
      </c>
      <c r="B132" s="2">
        <v>45756</v>
      </c>
      <c r="C132" s="1" t="s">
        <v>11</v>
      </c>
      <c r="D132" s="1" t="s">
        <v>12</v>
      </c>
      <c r="E132" s="1" t="s">
        <v>18</v>
      </c>
      <c r="F132" s="1" t="s">
        <v>39</v>
      </c>
      <c r="G132" s="1" t="s">
        <v>20</v>
      </c>
      <c r="H132">
        <v>121.83</v>
      </c>
      <c r="I132">
        <v>11</v>
      </c>
      <c r="J132">
        <v>1340.13</v>
      </c>
      <c r="K132" t="str">
        <f t="shared" si="2"/>
        <v>April</v>
      </c>
    </row>
    <row r="133" spans="1:11" x14ac:dyDescent="0.25">
      <c r="A133" s="1" t="s">
        <v>169</v>
      </c>
      <c r="B133" s="2">
        <v>45752</v>
      </c>
      <c r="C133" s="1" t="s">
        <v>30</v>
      </c>
      <c r="D133" s="1" t="s">
        <v>12</v>
      </c>
      <c r="E133" s="1" t="s">
        <v>41</v>
      </c>
      <c r="F133" s="1" t="s">
        <v>32</v>
      </c>
      <c r="G133" s="1" t="s">
        <v>20</v>
      </c>
      <c r="H133">
        <v>78.86</v>
      </c>
      <c r="I133">
        <v>7</v>
      </c>
      <c r="J133">
        <v>552.02</v>
      </c>
      <c r="K133" t="str">
        <f t="shared" si="2"/>
        <v>April</v>
      </c>
    </row>
    <row r="134" spans="1:11" x14ac:dyDescent="0.25">
      <c r="A134" s="1" t="s">
        <v>170</v>
      </c>
      <c r="B134" s="2">
        <v>45959</v>
      </c>
      <c r="C134" s="1" t="s">
        <v>25</v>
      </c>
      <c r="D134" s="1" t="s">
        <v>35</v>
      </c>
      <c r="E134" s="1" t="s">
        <v>45</v>
      </c>
      <c r="F134" s="1" t="s">
        <v>39</v>
      </c>
      <c r="G134" s="1" t="s">
        <v>15</v>
      </c>
      <c r="H134">
        <v>56.37</v>
      </c>
      <c r="I134">
        <v>17</v>
      </c>
      <c r="J134">
        <v>958.29</v>
      </c>
      <c r="K134" t="str">
        <f t="shared" si="2"/>
        <v>October</v>
      </c>
    </row>
    <row r="135" spans="1:11" x14ac:dyDescent="0.25">
      <c r="A135" s="1" t="s">
        <v>171</v>
      </c>
      <c r="B135" s="2">
        <v>45809</v>
      </c>
      <c r="C135" s="1" t="s">
        <v>34</v>
      </c>
      <c r="D135" s="1" t="s">
        <v>26</v>
      </c>
      <c r="E135" s="1" t="s">
        <v>13</v>
      </c>
      <c r="F135" s="1" t="s">
        <v>19</v>
      </c>
      <c r="G135" s="1" t="s">
        <v>20</v>
      </c>
      <c r="H135">
        <v>104.28</v>
      </c>
      <c r="I135">
        <v>8</v>
      </c>
      <c r="J135">
        <v>834.24</v>
      </c>
      <c r="K135" t="str">
        <f t="shared" si="2"/>
        <v>June</v>
      </c>
    </row>
    <row r="136" spans="1:11" x14ac:dyDescent="0.25">
      <c r="A136" s="1" t="s">
        <v>172</v>
      </c>
      <c r="B136" s="2">
        <v>45931</v>
      </c>
      <c r="C136" s="1" t="s">
        <v>34</v>
      </c>
      <c r="D136" s="1" t="s">
        <v>22</v>
      </c>
      <c r="E136" s="1" t="s">
        <v>45</v>
      </c>
      <c r="F136" s="1" t="s">
        <v>42</v>
      </c>
      <c r="G136" s="1" t="s">
        <v>36</v>
      </c>
      <c r="H136">
        <v>237.44</v>
      </c>
      <c r="I136">
        <v>5</v>
      </c>
      <c r="J136">
        <v>1187.2</v>
      </c>
      <c r="K136" t="str">
        <f t="shared" si="2"/>
        <v>October</v>
      </c>
    </row>
    <row r="137" spans="1:11" x14ac:dyDescent="0.25">
      <c r="A137" s="1" t="s">
        <v>173</v>
      </c>
      <c r="B137" s="2">
        <v>46015</v>
      </c>
      <c r="C137" s="1" t="s">
        <v>17</v>
      </c>
      <c r="D137" s="1" t="s">
        <v>31</v>
      </c>
      <c r="E137" s="1" t="s">
        <v>45</v>
      </c>
      <c r="F137" s="1" t="s">
        <v>39</v>
      </c>
      <c r="G137" s="1" t="s">
        <v>15</v>
      </c>
      <c r="H137">
        <v>101.1</v>
      </c>
      <c r="I137">
        <v>5</v>
      </c>
      <c r="J137">
        <v>505.5</v>
      </c>
      <c r="K137" t="str">
        <f t="shared" si="2"/>
        <v>December</v>
      </c>
    </row>
    <row r="138" spans="1:11" x14ac:dyDescent="0.25">
      <c r="A138" s="1" t="s">
        <v>174</v>
      </c>
      <c r="B138" s="2">
        <v>45951</v>
      </c>
      <c r="C138" s="1" t="s">
        <v>38</v>
      </c>
      <c r="D138" s="1" t="s">
        <v>31</v>
      </c>
      <c r="E138" s="1" t="s">
        <v>41</v>
      </c>
      <c r="F138" s="1" t="s">
        <v>32</v>
      </c>
      <c r="G138" s="1" t="s">
        <v>15</v>
      </c>
      <c r="H138">
        <v>144.13</v>
      </c>
      <c r="I138">
        <v>10</v>
      </c>
      <c r="J138">
        <v>1441.3</v>
      </c>
      <c r="K138" t="str">
        <f t="shared" si="2"/>
        <v>October</v>
      </c>
    </row>
    <row r="139" spans="1:11" x14ac:dyDescent="0.25">
      <c r="A139" s="1" t="s">
        <v>175</v>
      </c>
      <c r="B139" s="2">
        <v>45684</v>
      </c>
      <c r="C139" s="1" t="s">
        <v>38</v>
      </c>
      <c r="D139" s="1" t="s">
        <v>22</v>
      </c>
      <c r="E139" s="1" t="s">
        <v>45</v>
      </c>
      <c r="F139" s="1" t="s">
        <v>61</v>
      </c>
      <c r="G139" s="1" t="s">
        <v>36</v>
      </c>
      <c r="H139">
        <v>184.66</v>
      </c>
      <c r="I139">
        <v>9</v>
      </c>
      <c r="J139">
        <v>1661.94</v>
      </c>
      <c r="K139" t="str">
        <f t="shared" si="2"/>
        <v>January</v>
      </c>
    </row>
    <row r="140" spans="1:11" x14ac:dyDescent="0.25">
      <c r="A140" s="1" t="s">
        <v>176</v>
      </c>
      <c r="B140" s="2">
        <v>45695</v>
      </c>
      <c r="C140" s="1" t="s">
        <v>17</v>
      </c>
      <c r="D140" s="1" t="s">
        <v>12</v>
      </c>
      <c r="E140" s="1" t="s">
        <v>45</v>
      </c>
      <c r="F140" s="1" t="s">
        <v>14</v>
      </c>
      <c r="G140" s="1" t="s">
        <v>15</v>
      </c>
      <c r="H140">
        <v>110</v>
      </c>
      <c r="I140">
        <v>19</v>
      </c>
      <c r="J140">
        <v>2090</v>
      </c>
      <c r="K140" t="str">
        <f t="shared" si="2"/>
        <v>February</v>
      </c>
    </row>
    <row r="141" spans="1:11" x14ac:dyDescent="0.25">
      <c r="A141" s="1" t="s">
        <v>177</v>
      </c>
      <c r="B141" s="2">
        <v>45946</v>
      </c>
      <c r="C141" s="1" t="s">
        <v>11</v>
      </c>
      <c r="D141" s="1" t="s">
        <v>26</v>
      </c>
      <c r="E141" s="1" t="s">
        <v>45</v>
      </c>
      <c r="F141" s="1" t="s">
        <v>42</v>
      </c>
      <c r="G141" s="1" t="s">
        <v>36</v>
      </c>
      <c r="H141">
        <v>243.79</v>
      </c>
      <c r="I141">
        <v>10</v>
      </c>
      <c r="J141">
        <v>2437.9</v>
      </c>
      <c r="K141" t="str">
        <f t="shared" si="2"/>
        <v>October</v>
      </c>
    </row>
    <row r="142" spans="1:11" x14ac:dyDescent="0.25">
      <c r="A142" s="1" t="s">
        <v>178</v>
      </c>
      <c r="B142" s="2">
        <v>45968</v>
      </c>
      <c r="C142" s="1" t="s">
        <v>25</v>
      </c>
      <c r="D142" s="1" t="s">
        <v>26</v>
      </c>
      <c r="E142" s="1" t="s">
        <v>18</v>
      </c>
      <c r="F142" s="1" t="s">
        <v>61</v>
      </c>
      <c r="G142" s="1" t="s">
        <v>36</v>
      </c>
      <c r="H142">
        <v>241.74</v>
      </c>
      <c r="I142">
        <v>20</v>
      </c>
      <c r="J142">
        <v>4834.8</v>
      </c>
      <c r="K142" t="str">
        <f t="shared" si="2"/>
        <v>November</v>
      </c>
    </row>
    <row r="143" spans="1:11" x14ac:dyDescent="0.25">
      <c r="A143" s="1" t="s">
        <v>179</v>
      </c>
      <c r="B143" s="2">
        <v>45884</v>
      </c>
      <c r="C143" s="1" t="s">
        <v>25</v>
      </c>
      <c r="D143" s="1" t="s">
        <v>31</v>
      </c>
      <c r="E143" s="1" t="s">
        <v>13</v>
      </c>
      <c r="F143" s="1" t="s">
        <v>42</v>
      </c>
      <c r="G143" s="1" t="s">
        <v>20</v>
      </c>
      <c r="H143">
        <v>85.39</v>
      </c>
      <c r="I143">
        <v>10</v>
      </c>
      <c r="J143">
        <v>853.9</v>
      </c>
      <c r="K143" t="str">
        <f t="shared" si="2"/>
        <v>August</v>
      </c>
    </row>
    <row r="144" spans="1:11" x14ac:dyDescent="0.25">
      <c r="A144" s="1" t="s">
        <v>180</v>
      </c>
      <c r="B144" s="2">
        <v>45688</v>
      </c>
      <c r="C144" s="1" t="s">
        <v>17</v>
      </c>
      <c r="D144" s="1" t="s">
        <v>22</v>
      </c>
      <c r="E144" s="1" t="s">
        <v>23</v>
      </c>
      <c r="F144" s="1" t="s">
        <v>28</v>
      </c>
      <c r="G144" s="1" t="s">
        <v>15</v>
      </c>
      <c r="H144">
        <v>139.38999999999999</v>
      </c>
      <c r="I144">
        <v>20</v>
      </c>
      <c r="J144">
        <v>2787.8</v>
      </c>
      <c r="K144" t="str">
        <f t="shared" si="2"/>
        <v>January</v>
      </c>
    </row>
    <row r="145" spans="1:11" x14ac:dyDescent="0.25">
      <c r="A145" s="1" t="s">
        <v>181</v>
      </c>
      <c r="B145" s="2">
        <v>45793</v>
      </c>
      <c r="C145" s="1" t="s">
        <v>30</v>
      </c>
      <c r="D145" s="1" t="s">
        <v>26</v>
      </c>
      <c r="E145" s="1" t="s">
        <v>23</v>
      </c>
      <c r="F145" s="1" t="s">
        <v>42</v>
      </c>
      <c r="G145" s="1" t="s">
        <v>15</v>
      </c>
      <c r="H145">
        <v>96.19</v>
      </c>
      <c r="I145">
        <v>3</v>
      </c>
      <c r="J145">
        <v>288.57</v>
      </c>
      <c r="K145" t="str">
        <f t="shared" si="2"/>
        <v>May</v>
      </c>
    </row>
    <row r="146" spans="1:11" x14ac:dyDescent="0.25">
      <c r="A146" s="1" t="s">
        <v>182</v>
      </c>
      <c r="B146" s="2">
        <v>45738</v>
      </c>
      <c r="C146" s="1" t="s">
        <v>38</v>
      </c>
      <c r="D146" s="1" t="s">
        <v>31</v>
      </c>
      <c r="E146" s="1" t="s">
        <v>27</v>
      </c>
      <c r="F146" s="1" t="s">
        <v>42</v>
      </c>
      <c r="G146" s="1" t="s">
        <v>36</v>
      </c>
      <c r="H146">
        <v>92.66</v>
      </c>
      <c r="I146">
        <v>1</v>
      </c>
      <c r="J146">
        <v>92.66</v>
      </c>
      <c r="K146" t="str">
        <f t="shared" si="2"/>
        <v>March</v>
      </c>
    </row>
    <row r="147" spans="1:11" x14ac:dyDescent="0.25">
      <c r="A147" s="1" t="s">
        <v>183</v>
      </c>
      <c r="B147" s="2">
        <v>45807</v>
      </c>
      <c r="C147" s="1" t="s">
        <v>30</v>
      </c>
      <c r="D147" s="1" t="s">
        <v>35</v>
      </c>
      <c r="E147" s="1" t="s">
        <v>27</v>
      </c>
      <c r="F147" s="1" t="s">
        <v>32</v>
      </c>
      <c r="G147" s="1" t="s">
        <v>20</v>
      </c>
      <c r="H147">
        <v>38.119999999999997</v>
      </c>
      <c r="I147">
        <v>2</v>
      </c>
      <c r="J147">
        <v>76.239999999999995</v>
      </c>
      <c r="K147" t="str">
        <f t="shared" si="2"/>
        <v>May</v>
      </c>
    </row>
    <row r="148" spans="1:11" x14ac:dyDescent="0.25">
      <c r="A148" s="1" t="s">
        <v>184</v>
      </c>
      <c r="B148" s="2">
        <v>45890</v>
      </c>
      <c r="C148" s="1" t="s">
        <v>17</v>
      </c>
      <c r="D148" s="1" t="s">
        <v>26</v>
      </c>
      <c r="E148" s="1" t="s">
        <v>13</v>
      </c>
      <c r="F148" s="1" t="s">
        <v>39</v>
      </c>
      <c r="G148" s="1" t="s">
        <v>20</v>
      </c>
      <c r="H148">
        <v>164.1</v>
      </c>
      <c r="I148">
        <v>3</v>
      </c>
      <c r="J148">
        <v>492.3</v>
      </c>
      <c r="K148" t="str">
        <f t="shared" si="2"/>
        <v>August</v>
      </c>
    </row>
    <row r="149" spans="1:11" x14ac:dyDescent="0.25">
      <c r="A149" s="1" t="s">
        <v>185</v>
      </c>
      <c r="B149" s="2">
        <v>45959</v>
      </c>
      <c r="C149" s="1" t="s">
        <v>38</v>
      </c>
      <c r="D149" s="1" t="s">
        <v>22</v>
      </c>
      <c r="E149" s="1" t="s">
        <v>18</v>
      </c>
      <c r="F149" s="1" t="s">
        <v>14</v>
      </c>
      <c r="G149" s="1" t="s">
        <v>20</v>
      </c>
      <c r="H149">
        <v>140.59</v>
      </c>
      <c r="I149">
        <v>7</v>
      </c>
      <c r="J149">
        <v>984.13</v>
      </c>
      <c r="K149" t="str">
        <f t="shared" si="2"/>
        <v>October</v>
      </c>
    </row>
    <row r="150" spans="1:11" x14ac:dyDescent="0.25">
      <c r="A150" s="1" t="s">
        <v>186</v>
      </c>
      <c r="B150" s="2">
        <v>45734</v>
      </c>
      <c r="C150" s="1" t="s">
        <v>30</v>
      </c>
      <c r="D150" s="1" t="s">
        <v>22</v>
      </c>
      <c r="E150" s="1" t="s">
        <v>45</v>
      </c>
      <c r="F150" s="1" t="s">
        <v>14</v>
      </c>
      <c r="G150" s="1" t="s">
        <v>36</v>
      </c>
      <c r="H150">
        <v>41.33</v>
      </c>
      <c r="I150">
        <v>9</v>
      </c>
      <c r="J150">
        <v>371.97</v>
      </c>
      <c r="K150" t="str">
        <f t="shared" si="2"/>
        <v>March</v>
      </c>
    </row>
    <row r="151" spans="1:11" x14ac:dyDescent="0.25">
      <c r="A151" s="1" t="s">
        <v>187</v>
      </c>
      <c r="B151" s="2">
        <v>45962</v>
      </c>
      <c r="C151" s="1" t="s">
        <v>34</v>
      </c>
      <c r="D151" s="1" t="s">
        <v>31</v>
      </c>
      <c r="E151" s="1" t="s">
        <v>45</v>
      </c>
      <c r="F151" s="1" t="s">
        <v>61</v>
      </c>
      <c r="G151" s="1" t="s">
        <v>20</v>
      </c>
      <c r="H151">
        <v>91.3</v>
      </c>
      <c r="I151">
        <v>19</v>
      </c>
      <c r="J151">
        <v>1734.7</v>
      </c>
      <c r="K151" t="str">
        <f t="shared" si="2"/>
        <v>November</v>
      </c>
    </row>
    <row r="152" spans="1:11" x14ac:dyDescent="0.25">
      <c r="A152" s="1" t="s">
        <v>188</v>
      </c>
      <c r="B152" s="2">
        <v>45813</v>
      </c>
      <c r="C152" s="1" t="s">
        <v>34</v>
      </c>
      <c r="D152" s="1" t="s">
        <v>55</v>
      </c>
      <c r="E152" s="1" t="s">
        <v>18</v>
      </c>
      <c r="F152" s="1" t="s">
        <v>61</v>
      </c>
      <c r="G152" s="1" t="s">
        <v>36</v>
      </c>
      <c r="H152">
        <v>229.82</v>
      </c>
      <c r="I152">
        <v>13</v>
      </c>
      <c r="J152">
        <v>2987.66</v>
      </c>
      <c r="K152" t="str">
        <f t="shared" si="2"/>
        <v>June</v>
      </c>
    </row>
    <row r="153" spans="1:11" x14ac:dyDescent="0.25">
      <c r="A153" s="1" t="s">
        <v>189</v>
      </c>
      <c r="B153" s="2">
        <v>45699</v>
      </c>
      <c r="C153" s="1" t="s">
        <v>11</v>
      </c>
      <c r="D153" s="1" t="s">
        <v>31</v>
      </c>
      <c r="E153" s="1" t="s">
        <v>27</v>
      </c>
      <c r="F153" s="1" t="s">
        <v>32</v>
      </c>
      <c r="G153" s="1" t="s">
        <v>20</v>
      </c>
      <c r="H153">
        <v>82.7</v>
      </c>
      <c r="I153">
        <v>20</v>
      </c>
      <c r="J153">
        <v>1654</v>
      </c>
      <c r="K153" t="str">
        <f t="shared" si="2"/>
        <v>February</v>
      </c>
    </row>
    <row r="154" spans="1:11" x14ac:dyDescent="0.25">
      <c r="A154" s="1" t="s">
        <v>190</v>
      </c>
      <c r="B154" s="2">
        <v>45786</v>
      </c>
      <c r="C154" s="1" t="s">
        <v>11</v>
      </c>
      <c r="D154" s="1" t="s">
        <v>26</v>
      </c>
      <c r="E154" s="1" t="s">
        <v>27</v>
      </c>
      <c r="F154" s="1" t="s">
        <v>39</v>
      </c>
      <c r="G154" s="1" t="s">
        <v>20</v>
      </c>
      <c r="H154">
        <v>61.88</v>
      </c>
      <c r="I154">
        <v>1</v>
      </c>
      <c r="J154">
        <v>61.88</v>
      </c>
      <c r="K154" t="str">
        <f t="shared" si="2"/>
        <v>May</v>
      </c>
    </row>
    <row r="155" spans="1:11" x14ac:dyDescent="0.25">
      <c r="A155" s="1" t="s">
        <v>191</v>
      </c>
      <c r="B155" s="2">
        <v>45958</v>
      </c>
      <c r="C155" s="1" t="s">
        <v>17</v>
      </c>
      <c r="D155" s="1" t="s">
        <v>35</v>
      </c>
      <c r="E155" s="1" t="s">
        <v>18</v>
      </c>
      <c r="F155" s="1" t="s">
        <v>19</v>
      </c>
      <c r="G155" s="1" t="s">
        <v>15</v>
      </c>
      <c r="H155">
        <v>137.68</v>
      </c>
      <c r="I155">
        <v>1</v>
      </c>
      <c r="J155">
        <v>137.68</v>
      </c>
      <c r="K155" t="str">
        <f t="shared" si="2"/>
        <v>October</v>
      </c>
    </row>
    <row r="156" spans="1:11" x14ac:dyDescent="0.25">
      <c r="A156" s="1" t="s">
        <v>192</v>
      </c>
      <c r="B156" s="2">
        <v>45898</v>
      </c>
      <c r="C156" s="1" t="s">
        <v>17</v>
      </c>
      <c r="D156" s="1" t="s">
        <v>31</v>
      </c>
      <c r="E156" s="1" t="s">
        <v>13</v>
      </c>
      <c r="F156" s="1" t="s">
        <v>14</v>
      </c>
      <c r="G156" s="1" t="s">
        <v>20</v>
      </c>
      <c r="H156">
        <v>246.84</v>
      </c>
      <c r="I156">
        <v>17</v>
      </c>
      <c r="J156">
        <v>4196.28</v>
      </c>
      <c r="K156" t="str">
        <f t="shared" si="2"/>
        <v>August</v>
      </c>
    </row>
    <row r="157" spans="1:11" x14ac:dyDescent="0.25">
      <c r="A157" s="1" t="s">
        <v>193</v>
      </c>
      <c r="B157" s="2">
        <v>45881</v>
      </c>
      <c r="C157" s="1" t="s">
        <v>11</v>
      </c>
      <c r="D157" s="1" t="s">
        <v>31</v>
      </c>
      <c r="E157" s="1" t="s">
        <v>13</v>
      </c>
      <c r="F157" s="1" t="s">
        <v>61</v>
      </c>
      <c r="G157" s="1" t="s">
        <v>36</v>
      </c>
      <c r="H157">
        <v>83.25</v>
      </c>
      <c r="I157">
        <v>16</v>
      </c>
      <c r="J157">
        <v>1332</v>
      </c>
      <c r="K157" t="str">
        <f t="shared" si="2"/>
        <v>August</v>
      </c>
    </row>
    <row r="158" spans="1:11" x14ac:dyDescent="0.25">
      <c r="A158" s="1" t="s">
        <v>194</v>
      </c>
      <c r="B158" s="2">
        <v>45822</v>
      </c>
      <c r="C158" s="1" t="s">
        <v>30</v>
      </c>
      <c r="D158" s="1" t="s">
        <v>35</v>
      </c>
      <c r="E158" s="1" t="s">
        <v>41</v>
      </c>
      <c r="F158" s="1" t="s">
        <v>28</v>
      </c>
      <c r="G158" s="1" t="s">
        <v>36</v>
      </c>
      <c r="H158">
        <v>177.87</v>
      </c>
      <c r="I158">
        <v>4</v>
      </c>
      <c r="J158">
        <v>711.48</v>
      </c>
      <c r="K158" t="str">
        <f t="shared" si="2"/>
        <v>June</v>
      </c>
    </row>
    <row r="159" spans="1:11" x14ac:dyDescent="0.25">
      <c r="A159" s="1" t="s">
        <v>195</v>
      </c>
      <c r="B159" s="2">
        <v>45805</v>
      </c>
      <c r="C159" s="1" t="s">
        <v>25</v>
      </c>
      <c r="D159" s="1" t="s">
        <v>22</v>
      </c>
      <c r="E159" s="1" t="s">
        <v>41</v>
      </c>
      <c r="F159" s="1" t="s">
        <v>19</v>
      </c>
      <c r="G159" s="1" t="s">
        <v>36</v>
      </c>
      <c r="H159">
        <v>197.56</v>
      </c>
      <c r="I159">
        <v>13</v>
      </c>
      <c r="J159">
        <v>2568.2800000000002</v>
      </c>
      <c r="K159" t="str">
        <f t="shared" si="2"/>
        <v>May</v>
      </c>
    </row>
    <row r="160" spans="1:11" x14ac:dyDescent="0.25">
      <c r="A160" s="1" t="s">
        <v>196</v>
      </c>
      <c r="B160" s="2">
        <v>45787</v>
      </c>
      <c r="C160" s="1" t="s">
        <v>11</v>
      </c>
      <c r="D160" s="1" t="s">
        <v>31</v>
      </c>
      <c r="E160" s="1" t="s">
        <v>18</v>
      </c>
      <c r="F160" s="1" t="s">
        <v>39</v>
      </c>
      <c r="G160" s="1" t="s">
        <v>15</v>
      </c>
      <c r="H160">
        <v>82.28</v>
      </c>
      <c r="I160">
        <v>11</v>
      </c>
      <c r="J160">
        <v>905.08</v>
      </c>
      <c r="K160" t="str">
        <f t="shared" si="2"/>
        <v>May</v>
      </c>
    </row>
    <row r="161" spans="1:11" x14ac:dyDescent="0.25">
      <c r="A161" s="1" t="s">
        <v>197</v>
      </c>
      <c r="B161" s="2">
        <v>45994</v>
      </c>
      <c r="C161" s="1" t="s">
        <v>38</v>
      </c>
      <c r="D161" s="1" t="s">
        <v>31</v>
      </c>
      <c r="E161" s="1" t="s">
        <v>45</v>
      </c>
      <c r="F161" s="1" t="s">
        <v>14</v>
      </c>
      <c r="G161" s="1" t="s">
        <v>20</v>
      </c>
      <c r="H161">
        <v>190.21</v>
      </c>
      <c r="I161">
        <v>18</v>
      </c>
      <c r="J161">
        <v>3423.78</v>
      </c>
      <c r="K161" t="str">
        <f t="shared" si="2"/>
        <v>December</v>
      </c>
    </row>
    <row r="162" spans="1:11" x14ac:dyDescent="0.25">
      <c r="A162" s="1" t="s">
        <v>198</v>
      </c>
      <c r="B162" s="2">
        <v>45843</v>
      </c>
      <c r="C162" s="1" t="s">
        <v>38</v>
      </c>
      <c r="D162" s="1" t="s">
        <v>12</v>
      </c>
      <c r="E162" s="1" t="s">
        <v>41</v>
      </c>
      <c r="F162" s="1" t="s">
        <v>39</v>
      </c>
      <c r="G162" s="1" t="s">
        <v>15</v>
      </c>
      <c r="H162">
        <v>110.91</v>
      </c>
      <c r="I162">
        <v>20</v>
      </c>
      <c r="J162">
        <v>2218.1999999999998</v>
      </c>
      <c r="K162" t="str">
        <f t="shared" si="2"/>
        <v>July</v>
      </c>
    </row>
    <row r="163" spans="1:11" x14ac:dyDescent="0.25">
      <c r="A163" s="1" t="s">
        <v>199</v>
      </c>
      <c r="B163" s="2">
        <v>45762</v>
      </c>
      <c r="C163" s="1" t="s">
        <v>25</v>
      </c>
      <c r="D163" s="1" t="s">
        <v>26</v>
      </c>
      <c r="E163" s="1" t="s">
        <v>13</v>
      </c>
      <c r="F163" s="1" t="s">
        <v>61</v>
      </c>
      <c r="G163" s="1" t="s">
        <v>20</v>
      </c>
      <c r="H163">
        <v>169.11</v>
      </c>
      <c r="I163">
        <v>9</v>
      </c>
      <c r="J163">
        <v>1521.99</v>
      </c>
      <c r="K163" t="str">
        <f t="shared" si="2"/>
        <v>April</v>
      </c>
    </row>
    <row r="164" spans="1:11" x14ac:dyDescent="0.25">
      <c r="A164" s="1" t="s">
        <v>200</v>
      </c>
      <c r="B164" s="2">
        <v>45906</v>
      </c>
      <c r="C164" s="1" t="s">
        <v>11</v>
      </c>
      <c r="D164" s="1" t="s">
        <v>12</v>
      </c>
      <c r="E164" s="1" t="s">
        <v>18</v>
      </c>
      <c r="F164" s="1" t="s">
        <v>39</v>
      </c>
      <c r="G164" s="1" t="s">
        <v>15</v>
      </c>
      <c r="H164">
        <v>169.38</v>
      </c>
      <c r="I164">
        <v>4</v>
      </c>
      <c r="J164">
        <v>677.52</v>
      </c>
      <c r="K164" t="str">
        <f t="shared" si="2"/>
        <v>September</v>
      </c>
    </row>
    <row r="165" spans="1:11" x14ac:dyDescent="0.25">
      <c r="A165" s="1" t="s">
        <v>201</v>
      </c>
      <c r="B165" s="2">
        <v>46021</v>
      </c>
      <c r="C165" s="1" t="s">
        <v>34</v>
      </c>
      <c r="D165" s="1" t="s">
        <v>55</v>
      </c>
      <c r="E165" s="1" t="s">
        <v>45</v>
      </c>
      <c r="F165" s="1" t="s">
        <v>42</v>
      </c>
      <c r="G165" s="1" t="s">
        <v>36</v>
      </c>
      <c r="H165">
        <v>147.87</v>
      </c>
      <c r="I165">
        <v>6</v>
      </c>
      <c r="J165">
        <v>887.22</v>
      </c>
      <c r="K165" t="str">
        <f t="shared" si="2"/>
        <v>December</v>
      </c>
    </row>
    <row r="166" spans="1:11" x14ac:dyDescent="0.25">
      <c r="A166" s="1" t="s">
        <v>202</v>
      </c>
      <c r="B166" s="2">
        <v>45705</v>
      </c>
      <c r="C166" s="1" t="s">
        <v>11</v>
      </c>
      <c r="D166" s="1" t="s">
        <v>31</v>
      </c>
      <c r="E166" s="1" t="s">
        <v>45</v>
      </c>
      <c r="F166" s="1" t="s">
        <v>28</v>
      </c>
      <c r="G166" s="1" t="s">
        <v>15</v>
      </c>
      <c r="H166">
        <v>49.86</v>
      </c>
      <c r="I166">
        <v>8</v>
      </c>
      <c r="J166">
        <v>398.88</v>
      </c>
      <c r="K166" t="str">
        <f t="shared" si="2"/>
        <v>February</v>
      </c>
    </row>
    <row r="167" spans="1:11" x14ac:dyDescent="0.25">
      <c r="A167" s="1" t="s">
        <v>203</v>
      </c>
      <c r="B167" s="2">
        <v>45913</v>
      </c>
      <c r="C167" s="1" t="s">
        <v>25</v>
      </c>
      <c r="D167" s="1" t="s">
        <v>12</v>
      </c>
      <c r="E167" s="1" t="s">
        <v>13</v>
      </c>
      <c r="F167" s="1" t="s">
        <v>61</v>
      </c>
      <c r="G167" s="1" t="s">
        <v>36</v>
      </c>
      <c r="H167">
        <v>213.77</v>
      </c>
      <c r="I167">
        <v>10</v>
      </c>
      <c r="J167">
        <v>2137.6999999999998</v>
      </c>
      <c r="K167" t="str">
        <f t="shared" si="2"/>
        <v>September</v>
      </c>
    </row>
    <row r="168" spans="1:11" x14ac:dyDescent="0.25">
      <c r="A168" s="1" t="s">
        <v>204</v>
      </c>
      <c r="B168" s="2">
        <v>45899</v>
      </c>
      <c r="C168" s="1" t="s">
        <v>38</v>
      </c>
      <c r="D168" s="1" t="s">
        <v>55</v>
      </c>
      <c r="E168" s="1" t="s">
        <v>23</v>
      </c>
      <c r="F168" s="1" t="s">
        <v>61</v>
      </c>
      <c r="G168" s="1" t="s">
        <v>15</v>
      </c>
      <c r="H168">
        <v>100.57</v>
      </c>
      <c r="I168">
        <v>8</v>
      </c>
      <c r="J168">
        <v>804.56</v>
      </c>
      <c r="K168" t="str">
        <f t="shared" si="2"/>
        <v>August</v>
      </c>
    </row>
    <row r="169" spans="1:11" x14ac:dyDescent="0.25">
      <c r="A169" s="1" t="s">
        <v>205</v>
      </c>
      <c r="B169" s="2">
        <v>45964</v>
      </c>
      <c r="C169" s="1" t="s">
        <v>17</v>
      </c>
      <c r="D169" s="1" t="s">
        <v>26</v>
      </c>
      <c r="E169" s="1" t="s">
        <v>45</v>
      </c>
      <c r="F169" s="1" t="s">
        <v>32</v>
      </c>
      <c r="G169" s="1" t="s">
        <v>36</v>
      </c>
      <c r="H169">
        <v>71.03</v>
      </c>
      <c r="I169">
        <v>17</v>
      </c>
      <c r="J169">
        <v>1207.51</v>
      </c>
      <c r="K169" t="str">
        <f t="shared" si="2"/>
        <v>November</v>
      </c>
    </row>
    <row r="170" spans="1:11" x14ac:dyDescent="0.25">
      <c r="A170" s="1" t="s">
        <v>206</v>
      </c>
      <c r="B170" s="2">
        <v>45832</v>
      </c>
      <c r="C170" s="1" t="s">
        <v>34</v>
      </c>
      <c r="D170" s="1" t="s">
        <v>22</v>
      </c>
      <c r="E170" s="1" t="s">
        <v>13</v>
      </c>
      <c r="F170" s="1" t="s">
        <v>28</v>
      </c>
      <c r="G170" s="1" t="s">
        <v>36</v>
      </c>
      <c r="H170">
        <v>38.97</v>
      </c>
      <c r="I170">
        <v>17</v>
      </c>
      <c r="J170">
        <v>662.49</v>
      </c>
      <c r="K170" t="str">
        <f t="shared" si="2"/>
        <v>June</v>
      </c>
    </row>
    <row r="171" spans="1:11" x14ac:dyDescent="0.25">
      <c r="A171" s="1" t="s">
        <v>207</v>
      </c>
      <c r="B171" s="2">
        <v>45958</v>
      </c>
      <c r="C171" s="1" t="s">
        <v>17</v>
      </c>
      <c r="D171" s="1" t="s">
        <v>31</v>
      </c>
      <c r="E171" s="1" t="s">
        <v>23</v>
      </c>
      <c r="F171" s="1" t="s">
        <v>61</v>
      </c>
      <c r="G171" s="1" t="s">
        <v>20</v>
      </c>
      <c r="H171">
        <v>160</v>
      </c>
      <c r="I171">
        <v>19</v>
      </c>
      <c r="J171">
        <v>3040</v>
      </c>
      <c r="K171" t="str">
        <f t="shared" si="2"/>
        <v>October</v>
      </c>
    </row>
    <row r="172" spans="1:11" x14ac:dyDescent="0.25">
      <c r="A172" s="1" t="s">
        <v>208</v>
      </c>
      <c r="B172" s="2">
        <v>45905</v>
      </c>
      <c r="C172" s="1" t="s">
        <v>34</v>
      </c>
      <c r="D172" s="1" t="s">
        <v>55</v>
      </c>
      <c r="E172" s="1" t="s">
        <v>18</v>
      </c>
      <c r="F172" s="1" t="s">
        <v>61</v>
      </c>
      <c r="G172" s="1" t="s">
        <v>36</v>
      </c>
      <c r="H172">
        <v>179.06</v>
      </c>
      <c r="I172">
        <v>12</v>
      </c>
      <c r="J172">
        <v>2148.7199999999998</v>
      </c>
      <c r="K172" t="str">
        <f t="shared" si="2"/>
        <v>September</v>
      </c>
    </row>
    <row r="173" spans="1:11" x14ac:dyDescent="0.25">
      <c r="A173" s="1" t="s">
        <v>209</v>
      </c>
      <c r="B173" s="2">
        <v>45822</v>
      </c>
      <c r="C173" s="1" t="s">
        <v>17</v>
      </c>
      <c r="D173" s="1" t="s">
        <v>26</v>
      </c>
      <c r="E173" s="1" t="s">
        <v>18</v>
      </c>
      <c r="F173" s="1" t="s">
        <v>61</v>
      </c>
      <c r="G173" s="1" t="s">
        <v>15</v>
      </c>
      <c r="H173">
        <v>33.65</v>
      </c>
      <c r="I173">
        <v>7</v>
      </c>
      <c r="J173">
        <v>235.55</v>
      </c>
      <c r="K173" t="str">
        <f t="shared" si="2"/>
        <v>June</v>
      </c>
    </row>
    <row r="174" spans="1:11" x14ac:dyDescent="0.25">
      <c r="A174" s="1" t="s">
        <v>210</v>
      </c>
      <c r="B174" s="2">
        <v>45868</v>
      </c>
      <c r="C174" s="1" t="s">
        <v>34</v>
      </c>
      <c r="D174" s="1" t="s">
        <v>12</v>
      </c>
      <c r="E174" s="1" t="s">
        <v>41</v>
      </c>
      <c r="F174" s="1" t="s">
        <v>28</v>
      </c>
      <c r="G174" s="1" t="s">
        <v>36</v>
      </c>
      <c r="H174">
        <v>142.66</v>
      </c>
      <c r="I174">
        <v>2</v>
      </c>
      <c r="J174">
        <v>285.32</v>
      </c>
      <c r="K174" t="str">
        <f t="shared" si="2"/>
        <v>July</v>
      </c>
    </row>
    <row r="175" spans="1:11" x14ac:dyDescent="0.25">
      <c r="A175" s="1" t="s">
        <v>211</v>
      </c>
      <c r="B175" s="2">
        <v>45855</v>
      </c>
      <c r="C175" s="1" t="s">
        <v>38</v>
      </c>
      <c r="D175" s="1" t="s">
        <v>22</v>
      </c>
      <c r="E175" s="1" t="s">
        <v>23</v>
      </c>
      <c r="F175" s="1" t="s">
        <v>42</v>
      </c>
      <c r="G175" s="1" t="s">
        <v>20</v>
      </c>
      <c r="H175">
        <v>79.83</v>
      </c>
      <c r="I175">
        <v>5</v>
      </c>
      <c r="J175">
        <v>399.15</v>
      </c>
      <c r="K175" t="str">
        <f t="shared" si="2"/>
        <v>July</v>
      </c>
    </row>
    <row r="176" spans="1:11" x14ac:dyDescent="0.25">
      <c r="A176" s="1" t="s">
        <v>212</v>
      </c>
      <c r="B176" s="2">
        <v>45827</v>
      </c>
      <c r="C176" s="1" t="s">
        <v>38</v>
      </c>
      <c r="D176" s="1" t="s">
        <v>22</v>
      </c>
      <c r="E176" s="1" t="s">
        <v>18</v>
      </c>
      <c r="F176" s="1" t="s">
        <v>61</v>
      </c>
      <c r="G176" s="1" t="s">
        <v>15</v>
      </c>
      <c r="H176">
        <v>171.94</v>
      </c>
      <c r="I176">
        <v>4</v>
      </c>
      <c r="J176">
        <v>687.76</v>
      </c>
      <c r="K176" t="str">
        <f t="shared" si="2"/>
        <v>June</v>
      </c>
    </row>
    <row r="177" spans="1:11" x14ac:dyDescent="0.25">
      <c r="A177" s="1" t="s">
        <v>213</v>
      </c>
      <c r="B177" s="2">
        <v>45731</v>
      </c>
      <c r="C177" s="1" t="s">
        <v>17</v>
      </c>
      <c r="D177" s="1" t="s">
        <v>26</v>
      </c>
      <c r="E177" s="1" t="s">
        <v>45</v>
      </c>
      <c r="F177" s="1" t="s">
        <v>61</v>
      </c>
      <c r="G177" s="1" t="s">
        <v>36</v>
      </c>
      <c r="H177">
        <v>68.36</v>
      </c>
      <c r="I177">
        <v>14</v>
      </c>
      <c r="J177">
        <v>957.04</v>
      </c>
      <c r="K177" t="str">
        <f t="shared" si="2"/>
        <v>March</v>
      </c>
    </row>
    <row r="178" spans="1:11" x14ac:dyDescent="0.25">
      <c r="A178" s="1" t="s">
        <v>214</v>
      </c>
      <c r="B178" s="2">
        <v>45831</v>
      </c>
      <c r="C178" s="1" t="s">
        <v>17</v>
      </c>
      <c r="D178" s="1" t="s">
        <v>31</v>
      </c>
      <c r="E178" s="1" t="s">
        <v>27</v>
      </c>
      <c r="F178" s="1" t="s">
        <v>19</v>
      </c>
      <c r="G178" s="1" t="s">
        <v>36</v>
      </c>
      <c r="H178">
        <v>182.01</v>
      </c>
      <c r="I178">
        <v>20</v>
      </c>
      <c r="J178">
        <v>3640.2</v>
      </c>
      <c r="K178" t="str">
        <f t="shared" si="2"/>
        <v>June</v>
      </c>
    </row>
    <row r="179" spans="1:11" x14ac:dyDescent="0.25">
      <c r="A179" s="1" t="s">
        <v>215</v>
      </c>
      <c r="B179" s="2">
        <v>46003</v>
      </c>
      <c r="C179" s="1" t="s">
        <v>38</v>
      </c>
      <c r="D179" s="1" t="s">
        <v>35</v>
      </c>
      <c r="E179" s="1" t="s">
        <v>27</v>
      </c>
      <c r="F179" s="1" t="s">
        <v>28</v>
      </c>
      <c r="G179" s="1" t="s">
        <v>36</v>
      </c>
      <c r="H179">
        <v>115.08</v>
      </c>
      <c r="I179">
        <v>18</v>
      </c>
      <c r="J179">
        <v>2071.44</v>
      </c>
      <c r="K179" t="str">
        <f t="shared" si="2"/>
        <v>December</v>
      </c>
    </row>
    <row r="180" spans="1:11" x14ac:dyDescent="0.25">
      <c r="A180" s="1" t="s">
        <v>216</v>
      </c>
      <c r="B180" s="2">
        <v>45935</v>
      </c>
      <c r="C180" s="1" t="s">
        <v>25</v>
      </c>
      <c r="D180" s="1" t="s">
        <v>22</v>
      </c>
      <c r="E180" s="1" t="s">
        <v>23</v>
      </c>
      <c r="F180" s="1" t="s">
        <v>28</v>
      </c>
      <c r="G180" s="1" t="s">
        <v>20</v>
      </c>
      <c r="H180">
        <v>236.08</v>
      </c>
      <c r="I180">
        <v>2</v>
      </c>
      <c r="J180">
        <v>472.16</v>
      </c>
      <c r="K180" t="str">
        <f t="shared" si="2"/>
        <v>October</v>
      </c>
    </row>
    <row r="181" spans="1:11" x14ac:dyDescent="0.25">
      <c r="A181" s="1" t="s">
        <v>217</v>
      </c>
      <c r="B181" s="2">
        <v>45805</v>
      </c>
      <c r="C181" s="1" t="s">
        <v>17</v>
      </c>
      <c r="D181" s="1" t="s">
        <v>22</v>
      </c>
      <c r="E181" s="1" t="s">
        <v>41</v>
      </c>
      <c r="F181" s="1" t="s">
        <v>19</v>
      </c>
      <c r="G181" s="1" t="s">
        <v>20</v>
      </c>
      <c r="H181">
        <v>60.25</v>
      </c>
      <c r="I181">
        <v>8</v>
      </c>
      <c r="J181">
        <v>482</v>
      </c>
      <c r="K181" t="str">
        <f t="shared" si="2"/>
        <v>May</v>
      </c>
    </row>
    <row r="182" spans="1:11" x14ac:dyDescent="0.25">
      <c r="A182" s="1" t="s">
        <v>218</v>
      </c>
      <c r="B182" s="2">
        <v>46018</v>
      </c>
      <c r="C182" s="1" t="s">
        <v>38</v>
      </c>
      <c r="D182" s="1" t="s">
        <v>26</v>
      </c>
      <c r="E182" s="1" t="s">
        <v>27</v>
      </c>
      <c r="F182" s="1" t="s">
        <v>32</v>
      </c>
      <c r="G182" s="1" t="s">
        <v>15</v>
      </c>
      <c r="H182">
        <v>105.03</v>
      </c>
      <c r="I182">
        <v>4</v>
      </c>
      <c r="J182">
        <v>420.12</v>
      </c>
      <c r="K182" t="str">
        <f t="shared" si="2"/>
        <v>December</v>
      </c>
    </row>
    <row r="183" spans="1:11" x14ac:dyDescent="0.25">
      <c r="A183" s="1" t="s">
        <v>219</v>
      </c>
      <c r="B183" s="2">
        <v>45681</v>
      </c>
      <c r="C183" s="1" t="s">
        <v>11</v>
      </c>
      <c r="D183" s="1" t="s">
        <v>35</v>
      </c>
      <c r="E183" s="1" t="s">
        <v>13</v>
      </c>
      <c r="F183" s="1" t="s">
        <v>32</v>
      </c>
      <c r="G183" s="1" t="s">
        <v>36</v>
      </c>
      <c r="H183">
        <v>54.96</v>
      </c>
      <c r="I183">
        <v>11</v>
      </c>
      <c r="J183">
        <v>604.55999999999995</v>
      </c>
      <c r="K183" t="str">
        <f t="shared" si="2"/>
        <v>January</v>
      </c>
    </row>
    <row r="184" spans="1:11" x14ac:dyDescent="0.25">
      <c r="A184" s="1" t="s">
        <v>220</v>
      </c>
      <c r="B184" s="2">
        <v>45732</v>
      </c>
      <c r="C184" s="1" t="s">
        <v>25</v>
      </c>
      <c r="D184" s="1" t="s">
        <v>31</v>
      </c>
      <c r="E184" s="1" t="s">
        <v>18</v>
      </c>
      <c r="F184" s="1" t="s">
        <v>28</v>
      </c>
      <c r="G184" s="1" t="s">
        <v>15</v>
      </c>
      <c r="H184">
        <v>233.43</v>
      </c>
      <c r="I184">
        <v>8</v>
      </c>
      <c r="J184">
        <v>1867.44</v>
      </c>
      <c r="K184" t="str">
        <f t="shared" si="2"/>
        <v>March</v>
      </c>
    </row>
    <row r="185" spans="1:11" x14ac:dyDescent="0.25">
      <c r="A185" s="1" t="s">
        <v>221</v>
      </c>
      <c r="B185" s="2">
        <v>45745</v>
      </c>
      <c r="C185" s="1" t="s">
        <v>11</v>
      </c>
      <c r="D185" s="1" t="s">
        <v>55</v>
      </c>
      <c r="E185" s="1" t="s">
        <v>41</v>
      </c>
      <c r="F185" s="1" t="s">
        <v>42</v>
      </c>
      <c r="G185" s="1" t="s">
        <v>20</v>
      </c>
      <c r="H185">
        <v>223.01</v>
      </c>
      <c r="I185">
        <v>6</v>
      </c>
      <c r="J185">
        <v>1338.06</v>
      </c>
      <c r="K185" t="str">
        <f t="shared" si="2"/>
        <v>March</v>
      </c>
    </row>
    <row r="186" spans="1:11" x14ac:dyDescent="0.25">
      <c r="A186" s="1" t="s">
        <v>222</v>
      </c>
      <c r="B186" s="2">
        <v>45781</v>
      </c>
      <c r="C186" s="1" t="s">
        <v>25</v>
      </c>
      <c r="D186" s="1" t="s">
        <v>26</v>
      </c>
      <c r="E186" s="1" t="s">
        <v>23</v>
      </c>
      <c r="F186" s="1" t="s">
        <v>61</v>
      </c>
      <c r="G186" s="1" t="s">
        <v>20</v>
      </c>
      <c r="H186">
        <v>86.75</v>
      </c>
      <c r="I186">
        <v>16</v>
      </c>
      <c r="J186">
        <v>1388</v>
      </c>
      <c r="K186" t="str">
        <f t="shared" si="2"/>
        <v>May</v>
      </c>
    </row>
    <row r="187" spans="1:11" x14ac:dyDescent="0.25">
      <c r="A187" s="1" t="s">
        <v>223</v>
      </c>
      <c r="B187" s="2">
        <v>45788</v>
      </c>
      <c r="C187" s="1" t="s">
        <v>34</v>
      </c>
      <c r="D187" s="1" t="s">
        <v>12</v>
      </c>
      <c r="E187" s="1" t="s">
        <v>45</v>
      </c>
      <c r="F187" s="1" t="s">
        <v>39</v>
      </c>
      <c r="G187" s="1" t="s">
        <v>36</v>
      </c>
      <c r="H187">
        <v>175.2</v>
      </c>
      <c r="I187">
        <v>15</v>
      </c>
      <c r="J187">
        <v>2628</v>
      </c>
      <c r="K187" t="str">
        <f t="shared" si="2"/>
        <v>May</v>
      </c>
    </row>
    <row r="188" spans="1:11" x14ac:dyDescent="0.25">
      <c r="A188" s="1" t="s">
        <v>224</v>
      </c>
      <c r="B188" s="2">
        <v>45805</v>
      </c>
      <c r="C188" s="1" t="s">
        <v>30</v>
      </c>
      <c r="D188" s="1" t="s">
        <v>22</v>
      </c>
      <c r="E188" s="1" t="s">
        <v>41</v>
      </c>
      <c r="F188" s="1" t="s">
        <v>32</v>
      </c>
      <c r="G188" s="1" t="s">
        <v>20</v>
      </c>
      <c r="H188">
        <v>209.79</v>
      </c>
      <c r="I188">
        <v>18</v>
      </c>
      <c r="J188">
        <v>3776.22</v>
      </c>
      <c r="K188" t="str">
        <f t="shared" si="2"/>
        <v>May</v>
      </c>
    </row>
    <row r="189" spans="1:11" x14ac:dyDescent="0.25">
      <c r="A189" s="1" t="s">
        <v>225</v>
      </c>
      <c r="B189" s="2">
        <v>45811</v>
      </c>
      <c r="C189" s="1" t="s">
        <v>17</v>
      </c>
      <c r="D189" s="1" t="s">
        <v>35</v>
      </c>
      <c r="E189" s="1" t="s">
        <v>41</v>
      </c>
      <c r="F189" s="1" t="s">
        <v>39</v>
      </c>
      <c r="G189" s="1" t="s">
        <v>36</v>
      </c>
      <c r="H189">
        <v>152.13999999999999</v>
      </c>
      <c r="I189">
        <v>14</v>
      </c>
      <c r="J189">
        <v>2129.96</v>
      </c>
      <c r="K189" t="str">
        <f t="shared" si="2"/>
        <v>June</v>
      </c>
    </row>
    <row r="190" spans="1:11" x14ac:dyDescent="0.25">
      <c r="A190" s="1" t="s">
        <v>226</v>
      </c>
      <c r="B190" s="2">
        <v>45759</v>
      </c>
      <c r="C190" s="1" t="s">
        <v>38</v>
      </c>
      <c r="D190" s="1" t="s">
        <v>22</v>
      </c>
      <c r="E190" s="1" t="s">
        <v>23</v>
      </c>
      <c r="F190" s="1" t="s">
        <v>61</v>
      </c>
      <c r="G190" s="1" t="s">
        <v>20</v>
      </c>
      <c r="H190">
        <v>146.52000000000001</v>
      </c>
      <c r="I190">
        <v>13</v>
      </c>
      <c r="J190">
        <v>1904.76</v>
      </c>
      <c r="K190" t="str">
        <f t="shared" si="2"/>
        <v>April</v>
      </c>
    </row>
    <row r="191" spans="1:11" x14ac:dyDescent="0.25">
      <c r="A191" s="1" t="s">
        <v>227</v>
      </c>
      <c r="B191" s="2">
        <v>45841</v>
      </c>
      <c r="C191" s="1" t="s">
        <v>34</v>
      </c>
      <c r="D191" s="1" t="s">
        <v>12</v>
      </c>
      <c r="E191" s="1" t="s">
        <v>13</v>
      </c>
      <c r="F191" s="1" t="s">
        <v>19</v>
      </c>
      <c r="G191" s="1" t="s">
        <v>20</v>
      </c>
      <c r="H191">
        <v>83.21</v>
      </c>
      <c r="I191">
        <v>19</v>
      </c>
      <c r="J191">
        <v>1580.99</v>
      </c>
      <c r="K191" t="str">
        <f t="shared" si="2"/>
        <v>July</v>
      </c>
    </row>
    <row r="192" spans="1:11" x14ac:dyDescent="0.25">
      <c r="A192" s="1" t="s">
        <v>228</v>
      </c>
      <c r="B192" s="2">
        <v>45860</v>
      </c>
      <c r="C192" s="1" t="s">
        <v>11</v>
      </c>
      <c r="D192" s="1" t="s">
        <v>55</v>
      </c>
      <c r="E192" s="1" t="s">
        <v>27</v>
      </c>
      <c r="F192" s="1" t="s">
        <v>39</v>
      </c>
      <c r="G192" s="1" t="s">
        <v>20</v>
      </c>
      <c r="H192">
        <v>50.48</v>
      </c>
      <c r="I192">
        <v>9</v>
      </c>
      <c r="J192">
        <v>454.32</v>
      </c>
      <c r="K192" t="str">
        <f t="shared" si="2"/>
        <v>July</v>
      </c>
    </row>
    <row r="193" spans="1:11" x14ac:dyDescent="0.25">
      <c r="A193" s="1" t="s">
        <v>229</v>
      </c>
      <c r="B193" s="2">
        <v>45683</v>
      </c>
      <c r="C193" s="1" t="s">
        <v>17</v>
      </c>
      <c r="D193" s="1" t="s">
        <v>31</v>
      </c>
      <c r="E193" s="1" t="s">
        <v>13</v>
      </c>
      <c r="F193" s="1" t="s">
        <v>39</v>
      </c>
      <c r="G193" s="1" t="s">
        <v>15</v>
      </c>
      <c r="H193">
        <v>227.39</v>
      </c>
      <c r="I193">
        <v>20</v>
      </c>
      <c r="J193">
        <v>4547.8</v>
      </c>
      <c r="K193" t="str">
        <f t="shared" si="2"/>
        <v>January</v>
      </c>
    </row>
    <row r="194" spans="1:11" x14ac:dyDescent="0.25">
      <c r="A194" s="1" t="s">
        <v>230</v>
      </c>
      <c r="B194" s="2">
        <v>45968</v>
      </c>
      <c r="C194" s="1" t="s">
        <v>30</v>
      </c>
      <c r="D194" s="1" t="s">
        <v>12</v>
      </c>
      <c r="E194" s="1" t="s">
        <v>23</v>
      </c>
      <c r="F194" s="1" t="s">
        <v>42</v>
      </c>
      <c r="G194" s="1" t="s">
        <v>36</v>
      </c>
      <c r="H194">
        <v>228.09</v>
      </c>
      <c r="I194">
        <v>12</v>
      </c>
      <c r="J194">
        <v>2737.08</v>
      </c>
      <c r="K194" t="str">
        <f t="shared" ref="K194:K257" si="3">TEXT(B:B,"MMMM")</f>
        <v>November</v>
      </c>
    </row>
    <row r="195" spans="1:11" x14ac:dyDescent="0.25">
      <c r="A195" s="1" t="s">
        <v>231</v>
      </c>
      <c r="B195" s="2">
        <v>46005</v>
      </c>
      <c r="C195" s="1" t="s">
        <v>17</v>
      </c>
      <c r="D195" s="1" t="s">
        <v>22</v>
      </c>
      <c r="E195" s="1" t="s">
        <v>27</v>
      </c>
      <c r="F195" s="1" t="s">
        <v>28</v>
      </c>
      <c r="G195" s="1" t="s">
        <v>15</v>
      </c>
      <c r="H195">
        <v>169.28</v>
      </c>
      <c r="I195">
        <v>5</v>
      </c>
      <c r="J195">
        <v>846.4</v>
      </c>
      <c r="K195" t="str">
        <f t="shared" si="3"/>
        <v>December</v>
      </c>
    </row>
    <row r="196" spans="1:11" x14ac:dyDescent="0.25">
      <c r="A196" s="1" t="s">
        <v>232</v>
      </c>
      <c r="B196" s="2">
        <v>45816</v>
      </c>
      <c r="C196" s="1" t="s">
        <v>11</v>
      </c>
      <c r="D196" s="1" t="s">
        <v>55</v>
      </c>
      <c r="E196" s="1" t="s">
        <v>13</v>
      </c>
      <c r="F196" s="1" t="s">
        <v>28</v>
      </c>
      <c r="G196" s="1" t="s">
        <v>15</v>
      </c>
      <c r="H196">
        <v>104.59</v>
      </c>
      <c r="I196">
        <v>15</v>
      </c>
      <c r="J196">
        <v>1568.85</v>
      </c>
      <c r="K196" t="str">
        <f t="shared" si="3"/>
        <v>June</v>
      </c>
    </row>
    <row r="197" spans="1:11" x14ac:dyDescent="0.25">
      <c r="A197" s="1" t="s">
        <v>233</v>
      </c>
      <c r="B197" s="2">
        <v>45704</v>
      </c>
      <c r="C197" s="1" t="s">
        <v>34</v>
      </c>
      <c r="D197" s="1" t="s">
        <v>12</v>
      </c>
      <c r="E197" s="1" t="s">
        <v>41</v>
      </c>
      <c r="F197" s="1" t="s">
        <v>14</v>
      </c>
      <c r="G197" s="1" t="s">
        <v>15</v>
      </c>
      <c r="H197">
        <v>106.83</v>
      </c>
      <c r="I197">
        <v>10</v>
      </c>
      <c r="J197">
        <v>1068.3</v>
      </c>
      <c r="K197" t="str">
        <f t="shared" si="3"/>
        <v>February</v>
      </c>
    </row>
    <row r="198" spans="1:11" x14ac:dyDescent="0.25">
      <c r="A198" s="1" t="s">
        <v>234</v>
      </c>
      <c r="B198" s="2">
        <v>45725</v>
      </c>
      <c r="C198" s="1" t="s">
        <v>34</v>
      </c>
      <c r="D198" s="1" t="s">
        <v>55</v>
      </c>
      <c r="E198" s="1" t="s">
        <v>18</v>
      </c>
      <c r="F198" s="1" t="s">
        <v>32</v>
      </c>
      <c r="G198" s="1" t="s">
        <v>15</v>
      </c>
      <c r="H198">
        <v>189.71</v>
      </c>
      <c r="I198">
        <v>18</v>
      </c>
      <c r="J198">
        <v>3414.78</v>
      </c>
      <c r="K198" t="str">
        <f t="shared" si="3"/>
        <v>March</v>
      </c>
    </row>
    <row r="199" spans="1:11" x14ac:dyDescent="0.25">
      <c r="A199" s="1" t="s">
        <v>235</v>
      </c>
      <c r="B199" s="2">
        <v>45789</v>
      </c>
      <c r="C199" s="1" t="s">
        <v>34</v>
      </c>
      <c r="D199" s="1" t="s">
        <v>12</v>
      </c>
      <c r="E199" s="1" t="s">
        <v>13</v>
      </c>
      <c r="F199" s="1" t="s">
        <v>39</v>
      </c>
      <c r="G199" s="1" t="s">
        <v>15</v>
      </c>
      <c r="H199">
        <v>227.36</v>
      </c>
      <c r="I199">
        <v>16</v>
      </c>
      <c r="J199">
        <v>3637.76</v>
      </c>
      <c r="K199" t="str">
        <f t="shared" si="3"/>
        <v>May</v>
      </c>
    </row>
    <row r="200" spans="1:11" x14ac:dyDescent="0.25">
      <c r="A200" s="1" t="s">
        <v>236</v>
      </c>
      <c r="B200" s="2">
        <v>45897</v>
      </c>
      <c r="C200" s="1" t="s">
        <v>30</v>
      </c>
      <c r="D200" s="1" t="s">
        <v>26</v>
      </c>
      <c r="E200" s="1" t="s">
        <v>27</v>
      </c>
      <c r="F200" s="1" t="s">
        <v>28</v>
      </c>
      <c r="G200" s="1" t="s">
        <v>20</v>
      </c>
      <c r="H200">
        <v>225.16</v>
      </c>
      <c r="I200">
        <v>3</v>
      </c>
      <c r="J200">
        <v>675.48</v>
      </c>
      <c r="K200" t="str">
        <f t="shared" si="3"/>
        <v>August</v>
      </c>
    </row>
    <row r="201" spans="1:11" x14ac:dyDescent="0.25">
      <c r="A201" s="1" t="s">
        <v>237</v>
      </c>
      <c r="B201" s="2">
        <v>45861</v>
      </c>
      <c r="C201" s="1" t="s">
        <v>34</v>
      </c>
      <c r="D201" s="1" t="s">
        <v>22</v>
      </c>
      <c r="E201" s="1" t="s">
        <v>41</v>
      </c>
      <c r="F201" s="1" t="s">
        <v>19</v>
      </c>
      <c r="G201" s="1" t="s">
        <v>36</v>
      </c>
      <c r="H201">
        <v>201.57</v>
      </c>
      <c r="I201">
        <v>18</v>
      </c>
      <c r="J201">
        <v>3628.26</v>
      </c>
      <c r="K201" t="str">
        <f t="shared" si="3"/>
        <v>July</v>
      </c>
    </row>
    <row r="202" spans="1:11" x14ac:dyDescent="0.25">
      <c r="A202" s="1" t="s">
        <v>238</v>
      </c>
      <c r="B202" s="2">
        <v>45932</v>
      </c>
      <c r="C202" s="1" t="s">
        <v>38</v>
      </c>
      <c r="D202" s="1" t="s">
        <v>35</v>
      </c>
      <c r="E202" s="1" t="s">
        <v>27</v>
      </c>
      <c r="F202" s="1" t="s">
        <v>28</v>
      </c>
      <c r="G202" s="1" t="s">
        <v>20</v>
      </c>
      <c r="H202">
        <v>171.25</v>
      </c>
      <c r="I202">
        <v>4</v>
      </c>
      <c r="J202">
        <v>685</v>
      </c>
      <c r="K202" t="str">
        <f t="shared" si="3"/>
        <v>October</v>
      </c>
    </row>
    <row r="203" spans="1:11" x14ac:dyDescent="0.25">
      <c r="A203" s="1" t="s">
        <v>239</v>
      </c>
      <c r="B203" s="2">
        <v>45792</v>
      </c>
      <c r="C203" s="1" t="s">
        <v>38</v>
      </c>
      <c r="D203" s="1" t="s">
        <v>12</v>
      </c>
      <c r="E203" s="1" t="s">
        <v>13</v>
      </c>
      <c r="F203" s="1" t="s">
        <v>19</v>
      </c>
      <c r="G203" s="1" t="s">
        <v>20</v>
      </c>
      <c r="H203">
        <v>48.51</v>
      </c>
      <c r="I203">
        <v>19</v>
      </c>
      <c r="J203">
        <v>921.69</v>
      </c>
      <c r="K203" t="str">
        <f t="shared" si="3"/>
        <v>May</v>
      </c>
    </row>
    <row r="204" spans="1:11" x14ac:dyDescent="0.25">
      <c r="A204" s="1" t="s">
        <v>240</v>
      </c>
      <c r="B204" s="2">
        <v>45777</v>
      </c>
      <c r="C204" s="1" t="s">
        <v>11</v>
      </c>
      <c r="D204" s="1" t="s">
        <v>55</v>
      </c>
      <c r="E204" s="1" t="s">
        <v>18</v>
      </c>
      <c r="F204" s="1" t="s">
        <v>32</v>
      </c>
      <c r="G204" s="1" t="s">
        <v>20</v>
      </c>
      <c r="H204">
        <v>65.56</v>
      </c>
      <c r="I204">
        <v>16</v>
      </c>
      <c r="J204">
        <v>1048.96</v>
      </c>
      <c r="K204" t="str">
        <f t="shared" si="3"/>
        <v>April</v>
      </c>
    </row>
    <row r="205" spans="1:11" x14ac:dyDescent="0.25">
      <c r="A205" s="1" t="s">
        <v>241</v>
      </c>
      <c r="B205" s="2">
        <v>45771</v>
      </c>
      <c r="C205" s="1" t="s">
        <v>17</v>
      </c>
      <c r="D205" s="1" t="s">
        <v>31</v>
      </c>
      <c r="E205" s="1" t="s">
        <v>27</v>
      </c>
      <c r="F205" s="1" t="s">
        <v>32</v>
      </c>
      <c r="G205" s="1" t="s">
        <v>20</v>
      </c>
      <c r="H205">
        <v>227.68</v>
      </c>
      <c r="I205">
        <v>3</v>
      </c>
      <c r="J205">
        <v>683.04</v>
      </c>
      <c r="K205" t="str">
        <f t="shared" si="3"/>
        <v>April</v>
      </c>
    </row>
    <row r="206" spans="1:11" x14ac:dyDescent="0.25">
      <c r="A206" s="1" t="s">
        <v>242</v>
      </c>
      <c r="B206" s="2">
        <v>45867</v>
      </c>
      <c r="C206" s="1" t="s">
        <v>30</v>
      </c>
      <c r="D206" s="1" t="s">
        <v>22</v>
      </c>
      <c r="E206" s="1" t="s">
        <v>45</v>
      </c>
      <c r="F206" s="1" t="s">
        <v>32</v>
      </c>
      <c r="G206" s="1" t="s">
        <v>36</v>
      </c>
      <c r="H206">
        <v>163.41</v>
      </c>
      <c r="I206">
        <v>4</v>
      </c>
      <c r="J206">
        <v>653.64</v>
      </c>
      <c r="K206" t="str">
        <f t="shared" si="3"/>
        <v>July</v>
      </c>
    </row>
    <row r="207" spans="1:11" x14ac:dyDescent="0.25">
      <c r="A207" s="1" t="s">
        <v>243</v>
      </c>
      <c r="B207" s="2">
        <v>45717</v>
      </c>
      <c r="C207" s="1" t="s">
        <v>30</v>
      </c>
      <c r="D207" s="1" t="s">
        <v>55</v>
      </c>
      <c r="E207" s="1" t="s">
        <v>23</v>
      </c>
      <c r="F207" s="1" t="s">
        <v>61</v>
      </c>
      <c r="G207" s="1" t="s">
        <v>36</v>
      </c>
      <c r="H207">
        <v>32.020000000000003</v>
      </c>
      <c r="I207">
        <v>4</v>
      </c>
      <c r="J207">
        <v>128.08000000000001</v>
      </c>
      <c r="K207" t="str">
        <f t="shared" si="3"/>
        <v>March</v>
      </c>
    </row>
    <row r="208" spans="1:11" x14ac:dyDescent="0.25">
      <c r="A208" s="1" t="s">
        <v>244</v>
      </c>
      <c r="B208" s="2">
        <v>45847</v>
      </c>
      <c r="C208" s="1" t="s">
        <v>38</v>
      </c>
      <c r="D208" s="1" t="s">
        <v>55</v>
      </c>
      <c r="E208" s="1" t="s">
        <v>27</v>
      </c>
      <c r="F208" s="1" t="s">
        <v>28</v>
      </c>
      <c r="G208" s="1" t="s">
        <v>15</v>
      </c>
      <c r="H208">
        <v>52.32</v>
      </c>
      <c r="I208">
        <v>18</v>
      </c>
      <c r="J208">
        <v>941.76</v>
      </c>
      <c r="K208" t="str">
        <f t="shared" si="3"/>
        <v>July</v>
      </c>
    </row>
    <row r="209" spans="1:11" x14ac:dyDescent="0.25">
      <c r="A209" s="1" t="s">
        <v>245</v>
      </c>
      <c r="B209" s="2">
        <v>45870</v>
      </c>
      <c r="C209" s="1" t="s">
        <v>38</v>
      </c>
      <c r="D209" s="1" t="s">
        <v>55</v>
      </c>
      <c r="E209" s="1" t="s">
        <v>41</v>
      </c>
      <c r="F209" s="1" t="s">
        <v>32</v>
      </c>
      <c r="G209" s="1" t="s">
        <v>15</v>
      </c>
      <c r="H209">
        <v>175.97</v>
      </c>
      <c r="I209">
        <v>4</v>
      </c>
      <c r="J209">
        <v>703.88</v>
      </c>
      <c r="K209" t="str">
        <f t="shared" si="3"/>
        <v>August</v>
      </c>
    </row>
    <row r="210" spans="1:11" x14ac:dyDescent="0.25">
      <c r="A210" s="1" t="s">
        <v>246</v>
      </c>
      <c r="B210" s="2">
        <v>46011</v>
      </c>
      <c r="C210" s="1" t="s">
        <v>30</v>
      </c>
      <c r="D210" s="1" t="s">
        <v>31</v>
      </c>
      <c r="E210" s="1" t="s">
        <v>41</v>
      </c>
      <c r="F210" s="1" t="s">
        <v>14</v>
      </c>
      <c r="G210" s="1" t="s">
        <v>36</v>
      </c>
      <c r="H210">
        <v>31.11</v>
      </c>
      <c r="I210">
        <v>12</v>
      </c>
      <c r="J210">
        <v>373.32</v>
      </c>
      <c r="K210" t="str">
        <f t="shared" si="3"/>
        <v>December</v>
      </c>
    </row>
    <row r="211" spans="1:11" x14ac:dyDescent="0.25">
      <c r="A211" s="1" t="s">
        <v>247</v>
      </c>
      <c r="B211" s="2">
        <v>45708</v>
      </c>
      <c r="C211" s="1" t="s">
        <v>25</v>
      </c>
      <c r="D211" s="1" t="s">
        <v>12</v>
      </c>
      <c r="E211" s="1" t="s">
        <v>13</v>
      </c>
      <c r="F211" s="1" t="s">
        <v>19</v>
      </c>
      <c r="G211" s="1" t="s">
        <v>36</v>
      </c>
      <c r="H211">
        <v>65.38</v>
      </c>
      <c r="I211">
        <v>12</v>
      </c>
      <c r="J211">
        <v>784.56</v>
      </c>
      <c r="K211" t="str">
        <f t="shared" si="3"/>
        <v>February</v>
      </c>
    </row>
    <row r="212" spans="1:11" x14ac:dyDescent="0.25">
      <c r="A212" s="1" t="s">
        <v>248</v>
      </c>
      <c r="B212" s="2">
        <v>45799</v>
      </c>
      <c r="C212" s="1" t="s">
        <v>11</v>
      </c>
      <c r="D212" s="1" t="s">
        <v>31</v>
      </c>
      <c r="E212" s="1" t="s">
        <v>45</v>
      </c>
      <c r="F212" s="1" t="s">
        <v>28</v>
      </c>
      <c r="G212" s="1" t="s">
        <v>15</v>
      </c>
      <c r="H212">
        <v>150.72</v>
      </c>
      <c r="I212">
        <v>7</v>
      </c>
      <c r="J212">
        <v>1055.04</v>
      </c>
      <c r="K212" t="str">
        <f t="shared" si="3"/>
        <v>May</v>
      </c>
    </row>
    <row r="213" spans="1:11" x14ac:dyDescent="0.25">
      <c r="A213" s="1" t="s">
        <v>249</v>
      </c>
      <c r="B213" s="2">
        <v>45986</v>
      </c>
      <c r="C213" s="1" t="s">
        <v>11</v>
      </c>
      <c r="D213" s="1" t="s">
        <v>22</v>
      </c>
      <c r="E213" s="1" t="s">
        <v>13</v>
      </c>
      <c r="F213" s="1" t="s">
        <v>14</v>
      </c>
      <c r="G213" s="1" t="s">
        <v>15</v>
      </c>
      <c r="H213">
        <v>182.22</v>
      </c>
      <c r="I213">
        <v>20</v>
      </c>
      <c r="J213">
        <v>3644.4</v>
      </c>
      <c r="K213" t="str">
        <f t="shared" si="3"/>
        <v>November</v>
      </c>
    </row>
    <row r="214" spans="1:11" x14ac:dyDescent="0.25">
      <c r="A214" s="1" t="s">
        <v>250</v>
      </c>
      <c r="B214" s="2">
        <v>45947</v>
      </c>
      <c r="C214" s="1" t="s">
        <v>11</v>
      </c>
      <c r="D214" s="1" t="s">
        <v>55</v>
      </c>
      <c r="E214" s="1" t="s">
        <v>23</v>
      </c>
      <c r="F214" s="1" t="s">
        <v>42</v>
      </c>
      <c r="G214" s="1" t="s">
        <v>15</v>
      </c>
      <c r="H214">
        <v>173.43</v>
      </c>
      <c r="I214">
        <v>7</v>
      </c>
      <c r="J214">
        <v>1214.01</v>
      </c>
      <c r="K214" t="str">
        <f t="shared" si="3"/>
        <v>October</v>
      </c>
    </row>
    <row r="215" spans="1:11" x14ac:dyDescent="0.25">
      <c r="A215" s="1" t="s">
        <v>251</v>
      </c>
      <c r="B215" s="2">
        <v>45777</v>
      </c>
      <c r="C215" s="1" t="s">
        <v>30</v>
      </c>
      <c r="D215" s="1" t="s">
        <v>55</v>
      </c>
      <c r="E215" s="1" t="s">
        <v>45</v>
      </c>
      <c r="F215" s="1" t="s">
        <v>32</v>
      </c>
      <c r="G215" s="1" t="s">
        <v>15</v>
      </c>
      <c r="H215">
        <v>79.34</v>
      </c>
      <c r="I215">
        <v>11</v>
      </c>
      <c r="J215">
        <v>872.74</v>
      </c>
      <c r="K215" t="str">
        <f t="shared" si="3"/>
        <v>April</v>
      </c>
    </row>
    <row r="216" spans="1:11" x14ac:dyDescent="0.25">
      <c r="A216" s="1" t="s">
        <v>252</v>
      </c>
      <c r="B216" s="2">
        <v>45724</v>
      </c>
      <c r="C216" s="1" t="s">
        <v>34</v>
      </c>
      <c r="D216" s="1" t="s">
        <v>26</v>
      </c>
      <c r="E216" s="1" t="s">
        <v>45</v>
      </c>
      <c r="F216" s="1" t="s">
        <v>28</v>
      </c>
      <c r="G216" s="1" t="s">
        <v>15</v>
      </c>
      <c r="H216">
        <v>186.68</v>
      </c>
      <c r="I216">
        <v>18</v>
      </c>
      <c r="J216">
        <v>3360.24</v>
      </c>
      <c r="K216" t="str">
        <f t="shared" si="3"/>
        <v>March</v>
      </c>
    </row>
    <row r="217" spans="1:11" x14ac:dyDescent="0.25">
      <c r="A217" s="1" t="s">
        <v>253</v>
      </c>
      <c r="B217" s="2">
        <v>45725</v>
      </c>
      <c r="C217" s="1" t="s">
        <v>34</v>
      </c>
      <c r="D217" s="1" t="s">
        <v>26</v>
      </c>
      <c r="E217" s="1" t="s">
        <v>18</v>
      </c>
      <c r="F217" s="1" t="s">
        <v>32</v>
      </c>
      <c r="G217" s="1" t="s">
        <v>15</v>
      </c>
      <c r="H217">
        <v>82.19</v>
      </c>
      <c r="I217">
        <v>1</v>
      </c>
      <c r="J217">
        <v>82.19</v>
      </c>
      <c r="K217" t="str">
        <f t="shared" si="3"/>
        <v>March</v>
      </c>
    </row>
    <row r="218" spans="1:11" x14ac:dyDescent="0.25">
      <c r="A218" s="1" t="s">
        <v>254</v>
      </c>
      <c r="B218" s="2">
        <v>45747</v>
      </c>
      <c r="C218" s="1" t="s">
        <v>11</v>
      </c>
      <c r="D218" s="1" t="s">
        <v>26</v>
      </c>
      <c r="E218" s="1" t="s">
        <v>27</v>
      </c>
      <c r="F218" s="1" t="s">
        <v>61</v>
      </c>
      <c r="G218" s="1" t="s">
        <v>20</v>
      </c>
      <c r="H218">
        <v>101.59</v>
      </c>
      <c r="I218">
        <v>9</v>
      </c>
      <c r="J218">
        <v>914.31</v>
      </c>
      <c r="K218" t="str">
        <f t="shared" si="3"/>
        <v>March</v>
      </c>
    </row>
    <row r="219" spans="1:11" x14ac:dyDescent="0.25">
      <c r="A219" s="1" t="s">
        <v>255</v>
      </c>
      <c r="B219" s="2">
        <v>45716</v>
      </c>
      <c r="C219" s="1" t="s">
        <v>38</v>
      </c>
      <c r="D219" s="1" t="s">
        <v>31</v>
      </c>
      <c r="E219" s="1" t="s">
        <v>13</v>
      </c>
      <c r="F219" s="1" t="s">
        <v>42</v>
      </c>
      <c r="G219" s="1" t="s">
        <v>20</v>
      </c>
      <c r="H219">
        <v>194.23</v>
      </c>
      <c r="I219">
        <v>3</v>
      </c>
      <c r="J219">
        <v>582.69000000000005</v>
      </c>
      <c r="K219" t="str">
        <f t="shared" si="3"/>
        <v>February</v>
      </c>
    </row>
    <row r="220" spans="1:11" x14ac:dyDescent="0.25">
      <c r="A220" s="1" t="s">
        <v>256</v>
      </c>
      <c r="B220" s="2">
        <v>45713</v>
      </c>
      <c r="C220" s="1" t="s">
        <v>25</v>
      </c>
      <c r="D220" s="1" t="s">
        <v>26</v>
      </c>
      <c r="E220" s="1" t="s">
        <v>18</v>
      </c>
      <c r="F220" s="1" t="s">
        <v>19</v>
      </c>
      <c r="G220" s="1" t="s">
        <v>20</v>
      </c>
      <c r="H220">
        <v>172.92</v>
      </c>
      <c r="I220">
        <v>15</v>
      </c>
      <c r="J220">
        <v>2593.8000000000002</v>
      </c>
      <c r="K220" t="str">
        <f t="shared" si="3"/>
        <v>February</v>
      </c>
    </row>
    <row r="221" spans="1:11" x14ac:dyDescent="0.25">
      <c r="A221" s="1" t="s">
        <v>257</v>
      </c>
      <c r="B221" s="2">
        <v>45995</v>
      </c>
      <c r="C221" s="1" t="s">
        <v>34</v>
      </c>
      <c r="D221" s="1" t="s">
        <v>31</v>
      </c>
      <c r="E221" s="1" t="s">
        <v>27</v>
      </c>
      <c r="F221" s="1" t="s">
        <v>19</v>
      </c>
      <c r="G221" s="1" t="s">
        <v>15</v>
      </c>
      <c r="H221">
        <v>216.83</v>
      </c>
      <c r="I221">
        <v>17</v>
      </c>
      <c r="J221">
        <v>3686.11</v>
      </c>
      <c r="K221" t="str">
        <f t="shared" si="3"/>
        <v>December</v>
      </c>
    </row>
    <row r="222" spans="1:11" x14ac:dyDescent="0.25">
      <c r="A222" s="1" t="s">
        <v>258</v>
      </c>
      <c r="B222" s="2">
        <v>45903</v>
      </c>
      <c r="C222" s="1" t="s">
        <v>38</v>
      </c>
      <c r="D222" s="1" t="s">
        <v>12</v>
      </c>
      <c r="E222" s="1" t="s">
        <v>45</v>
      </c>
      <c r="F222" s="1" t="s">
        <v>61</v>
      </c>
      <c r="G222" s="1" t="s">
        <v>20</v>
      </c>
      <c r="H222">
        <v>174.67</v>
      </c>
      <c r="I222">
        <v>13</v>
      </c>
      <c r="J222">
        <v>2270.71</v>
      </c>
      <c r="K222" t="str">
        <f t="shared" si="3"/>
        <v>September</v>
      </c>
    </row>
    <row r="223" spans="1:11" x14ac:dyDescent="0.25">
      <c r="A223" s="1" t="s">
        <v>259</v>
      </c>
      <c r="B223" s="2">
        <v>45885</v>
      </c>
      <c r="C223" s="1" t="s">
        <v>11</v>
      </c>
      <c r="D223" s="1" t="s">
        <v>35</v>
      </c>
      <c r="E223" s="1" t="s">
        <v>18</v>
      </c>
      <c r="F223" s="1" t="s">
        <v>14</v>
      </c>
      <c r="G223" s="1" t="s">
        <v>15</v>
      </c>
      <c r="H223">
        <v>155.03</v>
      </c>
      <c r="I223">
        <v>3</v>
      </c>
      <c r="J223">
        <v>465.09</v>
      </c>
      <c r="K223" t="str">
        <f t="shared" si="3"/>
        <v>August</v>
      </c>
    </row>
    <row r="224" spans="1:11" x14ac:dyDescent="0.25">
      <c r="A224" s="1" t="s">
        <v>260</v>
      </c>
      <c r="B224" s="2">
        <v>45722</v>
      </c>
      <c r="C224" s="1" t="s">
        <v>25</v>
      </c>
      <c r="D224" s="1" t="s">
        <v>12</v>
      </c>
      <c r="E224" s="1" t="s">
        <v>18</v>
      </c>
      <c r="F224" s="1" t="s">
        <v>42</v>
      </c>
      <c r="G224" s="1" t="s">
        <v>20</v>
      </c>
      <c r="H224">
        <v>50.61</v>
      </c>
      <c r="I224">
        <v>9</v>
      </c>
      <c r="J224">
        <v>455.49</v>
      </c>
      <c r="K224" t="str">
        <f t="shared" si="3"/>
        <v>March</v>
      </c>
    </row>
    <row r="225" spans="1:11" x14ac:dyDescent="0.25">
      <c r="A225" s="1" t="s">
        <v>261</v>
      </c>
      <c r="B225" s="2">
        <v>45824</v>
      </c>
      <c r="C225" s="1" t="s">
        <v>25</v>
      </c>
      <c r="D225" s="1" t="s">
        <v>55</v>
      </c>
      <c r="E225" s="1" t="s">
        <v>13</v>
      </c>
      <c r="F225" s="1" t="s">
        <v>61</v>
      </c>
      <c r="G225" s="1" t="s">
        <v>20</v>
      </c>
      <c r="H225">
        <v>110.9</v>
      </c>
      <c r="I225">
        <v>13</v>
      </c>
      <c r="J225">
        <v>1441.7</v>
      </c>
      <c r="K225" t="str">
        <f t="shared" si="3"/>
        <v>June</v>
      </c>
    </row>
    <row r="226" spans="1:11" x14ac:dyDescent="0.25">
      <c r="A226" s="1" t="s">
        <v>262</v>
      </c>
      <c r="B226" s="2">
        <v>45967</v>
      </c>
      <c r="C226" s="1" t="s">
        <v>11</v>
      </c>
      <c r="D226" s="1" t="s">
        <v>12</v>
      </c>
      <c r="E226" s="1" t="s">
        <v>45</v>
      </c>
      <c r="F226" s="1" t="s">
        <v>39</v>
      </c>
      <c r="G226" s="1" t="s">
        <v>20</v>
      </c>
      <c r="H226">
        <v>88.34</v>
      </c>
      <c r="I226">
        <v>14</v>
      </c>
      <c r="J226">
        <v>1236.76</v>
      </c>
      <c r="K226" t="str">
        <f t="shared" si="3"/>
        <v>November</v>
      </c>
    </row>
    <row r="227" spans="1:11" x14ac:dyDescent="0.25">
      <c r="A227" s="1" t="s">
        <v>263</v>
      </c>
      <c r="B227" s="2">
        <v>45991</v>
      </c>
      <c r="C227" s="1" t="s">
        <v>17</v>
      </c>
      <c r="D227" s="1" t="s">
        <v>26</v>
      </c>
      <c r="E227" s="1" t="s">
        <v>41</v>
      </c>
      <c r="F227" s="1" t="s">
        <v>61</v>
      </c>
      <c r="G227" s="1" t="s">
        <v>15</v>
      </c>
      <c r="H227">
        <v>83.68</v>
      </c>
      <c r="I227">
        <v>18</v>
      </c>
      <c r="J227">
        <v>1506.24</v>
      </c>
      <c r="K227" t="str">
        <f t="shared" si="3"/>
        <v>November</v>
      </c>
    </row>
    <row r="228" spans="1:11" x14ac:dyDescent="0.25">
      <c r="A228" s="1" t="s">
        <v>264</v>
      </c>
      <c r="B228" s="2">
        <v>45869</v>
      </c>
      <c r="C228" s="1" t="s">
        <v>38</v>
      </c>
      <c r="D228" s="1" t="s">
        <v>31</v>
      </c>
      <c r="E228" s="1" t="s">
        <v>41</v>
      </c>
      <c r="F228" s="1" t="s">
        <v>28</v>
      </c>
      <c r="G228" s="1" t="s">
        <v>15</v>
      </c>
      <c r="H228">
        <v>244.06</v>
      </c>
      <c r="I228">
        <v>11</v>
      </c>
      <c r="J228">
        <v>2684.66</v>
      </c>
      <c r="K228" t="str">
        <f t="shared" si="3"/>
        <v>July</v>
      </c>
    </row>
    <row r="229" spans="1:11" x14ac:dyDescent="0.25">
      <c r="A229" s="1" t="s">
        <v>265</v>
      </c>
      <c r="B229" s="2">
        <v>45818</v>
      </c>
      <c r="C229" s="1" t="s">
        <v>34</v>
      </c>
      <c r="D229" s="1" t="s">
        <v>12</v>
      </c>
      <c r="E229" s="1" t="s">
        <v>13</v>
      </c>
      <c r="F229" s="1" t="s">
        <v>32</v>
      </c>
      <c r="G229" s="1" t="s">
        <v>15</v>
      </c>
      <c r="H229">
        <v>116.48</v>
      </c>
      <c r="I229">
        <v>14</v>
      </c>
      <c r="J229">
        <v>1630.72</v>
      </c>
      <c r="K229" t="str">
        <f t="shared" si="3"/>
        <v>June</v>
      </c>
    </row>
    <row r="230" spans="1:11" x14ac:dyDescent="0.25">
      <c r="A230" s="1" t="s">
        <v>266</v>
      </c>
      <c r="B230" s="2">
        <v>46009</v>
      </c>
      <c r="C230" s="1" t="s">
        <v>11</v>
      </c>
      <c r="D230" s="1" t="s">
        <v>22</v>
      </c>
      <c r="E230" s="1" t="s">
        <v>45</v>
      </c>
      <c r="F230" s="1" t="s">
        <v>19</v>
      </c>
      <c r="G230" s="1" t="s">
        <v>36</v>
      </c>
      <c r="H230">
        <v>226.25</v>
      </c>
      <c r="I230">
        <v>16</v>
      </c>
      <c r="J230">
        <v>3620</v>
      </c>
      <c r="K230" t="str">
        <f t="shared" si="3"/>
        <v>December</v>
      </c>
    </row>
    <row r="231" spans="1:11" x14ac:dyDescent="0.25">
      <c r="A231" s="1" t="s">
        <v>267</v>
      </c>
      <c r="B231" s="2">
        <v>45707</v>
      </c>
      <c r="C231" s="1" t="s">
        <v>30</v>
      </c>
      <c r="D231" s="1" t="s">
        <v>55</v>
      </c>
      <c r="E231" s="1" t="s">
        <v>45</v>
      </c>
      <c r="F231" s="1" t="s">
        <v>42</v>
      </c>
      <c r="G231" s="1" t="s">
        <v>20</v>
      </c>
      <c r="H231">
        <v>168.85</v>
      </c>
      <c r="I231">
        <v>12</v>
      </c>
      <c r="J231">
        <v>2026.2</v>
      </c>
      <c r="K231" t="str">
        <f t="shared" si="3"/>
        <v>February</v>
      </c>
    </row>
    <row r="232" spans="1:11" x14ac:dyDescent="0.25">
      <c r="A232" s="1" t="s">
        <v>268</v>
      </c>
      <c r="B232" s="2">
        <v>45945</v>
      </c>
      <c r="C232" s="1" t="s">
        <v>17</v>
      </c>
      <c r="D232" s="1" t="s">
        <v>22</v>
      </c>
      <c r="E232" s="1" t="s">
        <v>41</v>
      </c>
      <c r="F232" s="1" t="s">
        <v>32</v>
      </c>
      <c r="G232" s="1" t="s">
        <v>20</v>
      </c>
      <c r="H232">
        <v>204.86</v>
      </c>
      <c r="I232">
        <v>11</v>
      </c>
      <c r="J232">
        <v>2253.46</v>
      </c>
      <c r="K232" t="str">
        <f t="shared" si="3"/>
        <v>October</v>
      </c>
    </row>
    <row r="233" spans="1:11" x14ac:dyDescent="0.25">
      <c r="A233" s="1" t="s">
        <v>269</v>
      </c>
      <c r="B233" s="2">
        <v>45874</v>
      </c>
      <c r="C233" s="1" t="s">
        <v>34</v>
      </c>
      <c r="D233" s="1" t="s">
        <v>55</v>
      </c>
      <c r="E233" s="1" t="s">
        <v>13</v>
      </c>
      <c r="F233" s="1" t="s">
        <v>32</v>
      </c>
      <c r="G233" s="1" t="s">
        <v>15</v>
      </c>
      <c r="H233">
        <v>140.58000000000001</v>
      </c>
      <c r="I233">
        <v>2</v>
      </c>
      <c r="J233">
        <v>281.16000000000003</v>
      </c>
      <c r="K233" t="str">
        <f t="shared" si="3"/>
        <v>August</v>
      </c>
    </row>
    <row r="234" spans="1:11" x14ac:dyDescent="0.25">
      <c r="A234" s="1" t="s">
        <v>270</v>
      </c>
      <c r="B234" s="2">
        <v>45953</v>
      </c>
      <c r="C234" s="1" t="s">
        <v>30</v>
      </c>
      <c r="D234" s="1" t="s">
        <v>26</v>
      </c>
      <c r="E234" s="1" t="s">
        <v>27</v>
      </c>
      <c r="F234" s="1" t="s">
        <v>61</v>
      </c>
      <c r="G234" s="1" t="s">
        <v>15</v>
      </c>
      <c r="H234">
        <v>156.91999999999999</v>
      </c>
      <c r="I234">
        <v>17</v>
      </c>
      <c r="J234">
        <v>2667.64</v>
      </c>
      <c r="K234" t="str">
        <f t="shared" si="3"/>
        <v>October</v>
      </c>
    </row>
    <row r="235" spans="1:11" x14ac:dyDescent="0.25">
      <c r="A235" s="1" t="s">
        <v>271</v>
      </c>
      <c r="B235" s="2">
        <v>45713</v>
      </c>
      <c r="C235" s="1" t="s">
        <v>25</v>
      </c>
      <c r="D235" s="1" t="s">
        <v>35</v>
      </c>
      <c r="E235" s="1" t="s">
        <v>45</v>
      </c>
      <c r="F235" s="1" t="s">
        <v>39</v>
      </c>
      <c r="G235" s="1" t="s">
        <v>36</v>
      </c>
      <c r="H235">
        <v>138.35</v>
      </c>
      <c r="I235">
        <v>12</v>
      </c>
      <c r="J235">
        <v>1660.2</v>
      </c>
      <c r="K235" t="str">
        <f t="shared" si="3"/>
        <v>February</v>
      </c>
    </row>
    <row r="236" spans="1:11" x14ac:dyDescent="0.25">
      <c r="A236" s="1" t="s">
        <v>272</v>
      </c>
      <c r="B236" s="2">
        <v>45951</v>
      </c>
      <c r="C236" s="1" t="s">
        <v>38</v>
      </c>
      <c r="D236" s="1" t="s">
        <v>55</v>
      </c>
      <c r="E236" s="1" t="s">
        <v>18</v>
      </c>
      <c r="F236" s="1" t="s">
        <v>42</v>
      </c>
      <c r="G236" s="1" t="s">
        <v>20</v>
      </c>
      <c r="H236">
        <v>72.95</v>
      </c>
      <c r="I236">
        <v>8</v>
      </c>
      <c r="J236">
        <v>583.6</v>
      </c>
      <c r="K236" t="str">
        <f t="shared" si="3"/>
        <v>October</v>
      </c>
    </row>
    <row r="237" spans="1:11" x14ac:dyDescent="0.25">
      <c r="A237" s="1" t="s">
        <v>273</v>
      </c>
      <c r="B237" s="2">
        <v>45987</v>
      </c>
      <c r="C237" s="1" t="s">
        <v>11</v>
      </c>
      <c r="D237" s="1" t="s">
        <v>55</v>
      </c>
      <c r="E237" s="1" t="s">
        <v>27</v>
      </c>
      <c r="F237" s="1" t="s">
        <v>39</v>
      </c>
      <c r="G237" s="1" t="s">
        <v>20</v>
      </c>
      <c r="H237">
        <v>188.94</v>
      </c>
      <c r="I237">
        <v>18</v>
      </c>
      <c r="J237">
        <v>3400.92</v>
      </c>
      <c r="K237" t="str">
        <f t="shared" si="3"/>
        <v>November</v>
      </c>
    </row>
    <row r="238" spans="1:11" x14ac:dyDescent="0.25">
      <c r="A238" s="1" t="s">
        <v>274</v>
      </c>
      <c r="B238" s="2">
        <v>45794</v>
      </c>
      <c r="C238" s="1" t="s">
        <v>30</v>
      </c>
      <c r="D238" s="1" t="s">
        <v>35</v>
      </c>
      <c r="E238" s="1" t="s">
        <v>27</v>
      </c>
      <c r="F238" s="1" t="s">
        <v>39</v>
      </c>
      <c r="G238" s="1" t="s">
        <v>36</v>
      </c>
      <c r="H238">
        <v>91.77</v>
      </c>
      <c r="I238">
        <v>1</v>
      </c>
      <c r="J238">
        <v>91.77</v>
      </c>
      <c r="K238" t="str">
        <f t="shared" si="3"/>
        <v>May</v>
      </c>
    </row>
    <row r="239" spans="1:11" x14ac:dyDescent="0.25">
      <c r="A239" s="1" t="s">
        <v>275</v>
      </c>
      <c r="B239" s="2">
        <v>45831</v>
      </c>
      <c r="C239" s="1" t="s">
        <v>11</v>
      </c>
      <c r="D239" s="1" t="s">
        <v>26</v>
      </c>
      <c r="E239" s="1" t="s">
        <v>23</v>
      </c>
      <c r="F239" s="1" t="s">
        <v>42</v>
      </c>
      <c r="G239" s="1" t="s">
        <v>20</v>
      </c>
      <c r="H239">
        <v>35.35</v>
      </c>
      <c r="I239">
        <v>12</v>
      </c>
      <c r="J239">
        <v>424.2</v>
      </c>
      <c r="K239" t="str">
        <f t="shared" si="3"/>
        <v>June</v>
      </c>
    </row>
    <row r="240" spans="1:11" x14ac:dyDescent="0.25">
      <c r="A240" s="1" t="s">
        <v>276</v>
      </c>
      <c r="B240" s="2">
        <v>45863</v>
      </c>
      <c r="C240" s="1" t="s">
        <v>30</v>
      </c>
      <c r="D240" s="1" t="s">
        <v>12</v>
      </c>
      <c r="E240" s="1" t="s">
        <v>27</v>
      </c>
      <c r="F240" s="1" t="s">
        <v>19</v>
      </c>
      <c r="G240" s="1" t="s">
        <v>15</v>
      </c>
      <c r="H240">
        <v>172</v>
      </c>
      <c r="I240">
        <v>3</v>
      </c>
      <c r="J240">
        <v>516</v>
      </c>
      <c r="K240" t="str">
        <f t="shared" si="3"/>
        <v>July</v>
      </c>
    </row>
    <row r="241" spans="1:11" x14ac:dyDescent="0.25">
      <c r="A241" s="1" t="s">
        <v>277</v>
      </c>
      <c r="B241" s="2">
        <v>45929</v>
      </c>
      <c r="C241" s="1" t="s">
        <v>38</v>
      </c>
      <c r="D241" s="1" t="s">
        <v>31</v>
      </c>
      <c r="E241" s="1" t="s">
        <v>41</v>
      </c>
      <c r="F241" s="1" t="s">
        <v>32</v>
      </c>
      <c r="G241" s="1" t="s">
        <v>15</v>
      </c>
      <c r="H241">
        <v>68.959999999999994</v>
      </c>
      <c r="I241">
        <v>7</v>
      </c>
      <c r="J241">
        <v>482.72</v>
      </c>
      <c r="K241" t="str">
        <f t="shared" si="3"/>
        <v>September</v>
      </c>
    </row>
    <row r="242" spans="1:11" x14ac:dyDescent="0.25">
      <c r="A242" s="1" t="s">
        <v>278</v>
      </c>
      <c r="B242" s="2">
        <v>45847</v>
      </c>
      <c r="C242" s="1" t="s">
        <v>17</v>
      </c>
      <c r="D242" s="1" t="s">
        <v>35</v>
      </c>
      <c r="E242" s="1" t="s">
        <v>18</v>
      </c>
      <c r="F242" s="1" t="s">
        <v>42</v>
      </c>
      <c r="G242" s="1" t="s">
        <v>15</v>
      </c>
      <c r="H242">
        <v>236.9</v>
      </c>
      <c r="I242">
        <v>10</v>
      </c>
      <c r="J242">
        <v>2369</v>
      </c>
      <c r="K242" t="str">
        <f t="shared" si="3"/>
        <v>July</v>
      </c>
    </row>
    <row r="243" spans="1:11" x14ac:dyDescent="0.25">
      <c r="A243" s="1" t="s">
        <v>279</v>
      </c>
      <c r="B243" s="2">
        <v>45684</v>
      </c>
      <c r="C243" s="1" t="s">
        <v>30</v>
      </c>
      <c r="D243" s="1" t="s">
        <v>55</v>
      </c>
      <c r="E243" s="1" t="s">
        <v>45</v>
      </c>
      <c r="F243" s="1" t="s">
        <v>28</v>
      </c>
      <c r="G243" s="1" t="s">
        <v>15</v>
      </c>
      <c r="H243">
        <v>239.86</v>
      </c>
      <c r="I243">
        <v>5</v>
      </c>
      <c r="J243">
        <v>1199.3</v>
      </c>
      <c r="K243" t="str">
        <f t="shared" si="3"/>
        <v>January</v>
      </c>
    </row>
    <row r="244" spans="1:11" x14ac:dyDescent="0.25">
      <c r="A244" s="1" t="s">
        <v>280</v>
      </c>
      <c r="B244" s="2">
        <v>45797</v>
      </c>
      <c r="C244" s="1" t="s">
        <v>17</v>
      </c>
      <c r="D244" s="1" t="s">
        <v>31</v>
      </c>
      <c r="E244" s="1" t="s">
        <v>41</v>
      </c>
      <c r="F244" s="1" t="s">
        <v>42</v>
      </c>
      <c r="G244" s="1" t="s">
        <v>36</v>
      </c>
      <c r="H244">
        <v>231.27</v>
      </c>
      <c r="I244">
        <v>15</v>
      </c>
      <c r="J244">
        <v>3469.05</v>
      </c>
      <c r="K244" t="str">
        <f t="shared" si="3"/>
        <v>May</v>
      </c>
    </row>
    <row r="245" spans="1:11" x14ac:dyDescent="0.25">
      <c r="A245" s="1" t="s">
        <v>281</v>
      </c>
      <c r="B245" s="2">
        <v>45870</v>
      </c>
      <c r="C245" s="1" t="s">
        <v>30</v>
      </c>
      <c r="D245" s="1" t="s">
        <v>55</v>
      </c>
      <c r="E245" s="1" t="s">
        <v>45</v>
      </c>
      <c r="F245" s="1" t="s">
        <v>32</v>
      </c>
      <c r="G245" s="1" t="s">
        <v>36</v>
      </c>
      <c r="H245">
        <v>111.43</v>
      </c>
      <c r="I245">
        <v>9</v>
      </c>
      <c r="J245">
        <v>1002.87</v>
      </c>
      <c r="K245" t="str">
        <f t="shared" si="3"/>
        <v>August</v>
      </c>
    </row>
    <row r="246" spans="1:11" x14ac:dyDescent="0.25">
      <c r="A246" s="1" t="s">
        <v>282</v>
      </c>
      <c r="B246" s="2">
        <v>45714</v>
      </c>
      <c r="C246" s="1" t="s">
        <v>17</v>
      </c>
      <c r="D246" s="1" t="s">
        <v>12</v>
      </c>
      <c r="E246" s="1" t="s">
        <v>18</v>
      </c>
      <c r="F246" s="1" t="s">
        <v>61</v>
      </c>
      <c r="G246" s="1" t="s">
        <v>20</v>
      </c>
      <c r="H246">
        <v>33.4</v>
      </c>
      <c r="I246">
        <v>10</v>
      </c>
      <c r="J246">
        <v>334</v>
      </c>
      <c r="K246" t="str">
        <f t="shared" si="3"/>
        <v>February</v>
      </c>
    </row>
    <row r="247" spans="1:11" x14ac:dyDescent="0.25">
      <c r="A247" s="1" t="s">
        <v>283</v>
      </c>
      <c r="B247" s="2">
        <v>45999</v>
      </c>
      <c r="C247" s="1" t="s">
        <v>11</v>
      </c>
      <c r="D247" s="1" t="s">
        <v>26</v>
      </c>
      <c r="E247" s="1" t="s">
        <v>41</v>
      </c>
      <c r="F247" s="1" t="s">
        <v>42</v>
      </c>
      <c r="G247" s="1" t="s">
        <v>15</v>
      </c>
      <c r="H247">
        <v>234.23</v>
      </c>
      <c r="I247">
        <v>10</v>
      </c>
      <c r="J247">
        <v>2342.3000000000002</v>
      </c>
      <c r="K247" t="str">
        <f t="shared" si="3"/>
        <v>December</v>
      </c>
    </row>
    <row r="248" spans="1:11" x14ac:dyDescent="0.25">
      <c r="A248" s="1" t="s">
        <v>284</v>
      </c>
      <c r="B248" s="2">
        <v>45661</v>
      </c>
      <c r="C248" s="1" t="s">
        <v>34</v>
      </c>
      <c r="D248" s="1" t="s">
        <v>26</v>
      </c>
      <c r="E248" s="1" t="s">
        <v>23</v>
      </c>
      <c r="F248" s="1" t="s">
        <v>39</v>
      </c>
      <c r="G248" s="1" t="s">
        <v>36</v>
      </c>
      <c r="H248">
        <v>124.2</v>
      </c>
      <c r="I248">
        <v>7</v>
      </c>
      <c r="J248">
        <v>869.4</v>
      </c>
      <c r="K248" t="str">
        <f t="shared" si="3"/>
        <v>January</v>
      </c>
    </row>
    <row r="249" spans="1:11" x14ac:dyDescent="0.25">
      <c r="A249" s="1" t="s">
        <v>285</v>
      </c>
      <c r="B249" s="2">
        <v>45806</v>
      </c>
      <c r="C249" s="1" t="s">
        <v>11</v>
      </c>
      <c r="D249" s="1" t="s">
        <v>22</v>
      </c>
      <c r="E249" s="1" t="s">
        <v>41</v>
      </c>
      <c r="F249" s="1" t="s">
        <v>28</v>
      </c>
      <c r="G249" s="1" t="s">
        <v>36</v>
      </c>
      <c r="H249">
        <v>242.66</v>
      </c>
      <c r="I249">
        <v>11</v>
      </c>
      <c r="J249">
        <v>2669.26</v>
      </c>
      <c r="K249" t="str">
        <f t="shared" si="3"/>
        <v>May</v>
      </c>
    </row>
    <row r="250" spans="1:11" x14ac:dyDescent="0.25">
      <c r="A250" s="1" t="s">
        <v>286</v>
      </c>
      <c r="B250" s="2">
        <v>45747</v>
      </c>
      <c r="C250" s="1" t="s">
        <v>38</v>
      </c>
      <c r="D250" s="1" t="s">
        <v>55</v>
      </c>
      <c r="E250" s="1" t="s">
        <v>27</v>
      </c>
      <c r="F250" s="1" t="s">
        <v>14</v>
      </c>
      <c r="G250" s="1" t="s">
        <v>20</v>
      </c>
      <c r="H250">
        <v>242</v>
      </c>
      <c r="I250">
        <v>5</v>
      </c>
      <c r="J250">
        <v>1210</v>
      </c>
      <c r="K250" t="str">
        <f t="shared" si="3"/>
        <v>March</v>
      </c>
    </row>
    <row r="251" spans="1:11" x14ac:dyDescent="0.25">
      <c r="A251" s="1" t="s">
        <v>287</v>
      </c>
      <c r="B251" s="2">
        <v>45944</v>
      </c>
      <c r="C251" s="1" t="s">
        <v>11</v>
      </c>
      <c r="D251" s="1" t="s">
        <v>31</v>
      </c>
      <c r="E251" s="1" t="s">
        <v>27</v>
      </c>
      <c r="F251" s="1" t="s">
        <v>19</v>
      </c>
      <c r="G251" s="1" t="s">
        <v>36</v>
      </c>
      <c r="H251">
        <v>217.66</v>
      </c>
      <c r="I251">
        <v>12</v>
      </c>
      <c r="J251">
        <v>2611.92</v>
      </c>
      <c r="K251" t="str">
        <f t="shared" si="3"/>
        <v>October</v>
      </c>
    </row>
    <row r="252" spans="1:11" x14ac:dyDescent="0.25">
      <c r="A252" s="1" t="s">
        <v>288</v>
      </c>
      <c r="B252" s="2">
        <v>45667</v>
      </c>
      <c r="C252" s="1" t="s">
        <v>11</v>
      </c>
      <c r="D252" s="1" t="s">
        <v>35</v>
      </c>
      <c r="E252" s="1" t="s">
        <v>18</v>
      </c>
      <c r="F252" s="1" t="s">
        <v>61</v>
      </c>
      <c r="G252" s="1" t="s">
        <v>20</v>
      </c>
      <c r="H252">
        <v>94.78</v>
      </c>
      <c r="I252">
        <v>15</v>
      </c>
      <c r="J252">
        <v>1421.7</v>
      </c>
      <c r="K252" t="str">
        <f t="shared" si="3"/>
        <v>January</v>
      </c>
    </row>
    <row r="253" spans="1:11" x14ac:dyDescent="0.25">
      <c r="A253" s="1" t="s">
        <v>289</v>
      </c>
      <c r="B253" s="2">
        <v>45865</v>
      </c>
      <c r="C253" s="1" t="s">
        <v>34</v>
      </c>
      <c r="D253" s="1" t="s">
        <v>22</v>
      </c>
      <c r="E253" s="1" t="s">
        <v>41</v>
      </c>
      <c r="F253" s="1" t="s">
        <v>19</v>
      </c>
      <c r="G253" s="1" t="s">
        <v>36</v>
      </c>
      <c r="H253">
        <v>114.72</v>
      </c>
      <c r="I253">
        <v>14</v>
      </c>
      <c r="J253">
        <v>1606.08</v>
      </c>
      <c r="K253" t="str">
        <f t="shared" si="3"/>
        <v>July</v>
      </c>
    </row>
    <row r="254" spans="1:11" x14ac:dyDescent="0.25">
      <c r="A254" s="1" t="s">
        <v>290</v>
      </c>
      <c r="B254" s="2">
        <v>45745</v>
      </c>
      <c r="C254" s="1" t="s">
        <v>38</v>
      </c>
      <c r="D254" s="1" t="s">
        <v>12</v>
      </c>
      <c r="E254" s="1" t="s">
        <v>13</v>
      </c>
      <c r="F254" s="1" t="s">
        <v>19</v>
      </c>
      <c r="G254" s="1" t="s">
        <v>36</v>
      </c>
      <c r="H254">
        <v>217.25</v>
      </c>
      <c r="I254">
        <v>20</v>
      </c>
      <c r="J254">
        <v>4345</v>
      </c>
      <c r="K254" t="str">
        <f t="shared" si="3"/>
        <v>March</v>
      </c>
    </row>
    <row r="255" spans="1:11" x14ac:dyDescent="0.25">
      <c r="A255" s="1" t="s">
        <v>291</v>
      </c>
      <c r="B255" s="2">
        <v>45712</v>
      </c>
      <c r="C255" s="1" t="s">
        <v>38</v>
      </c>
      <c r="D255" s="1" t="s">
        <v>55</v>
      </c>
      <c r="E255" s="1" t="s">
        <v>41</v>
      </c>
      <c r="F255" s="1" t="s">
        <v>42</v>
      </c>
      <c r="G255" s="1" t="s">
        <v>15</v>
      </c>
      <c r="H255">
        <v>99.72</v>
      </c>
      <c r="I255">
        <v>8</v>
      </c>
      <c r="J255">
        <v>797.76</v>
      </c>
      <c r="K255" t="str">
        <f t="shared" si="3"/>
        <v>February</v>
      </c>
    </row>
    <row r="256" spans="1:11" x14ac:dyDescent="0.25">
      <c r="A256" s="1" t="s">
        <v>292</v>
      </c>
      <c r="B256" s="2">
        <v>45860</v>
      </c>
      <c r="C256" s="1" t="s">
        <v>17</v>
      </c>
      <c r="D256" s="1" t="s">
        <v>35</v>
      </c>
      <c r="E256" s="1" t="s">
        <v>23</v>
      </c>
      <c r="F256" s="1" t="s">
        <v>32</v>
      </c>
      <c r="G256" s="1" t="s">
        <v>15</v>
      </c>
      <c r="H256">
        <v>67.290000000000006</v>
      </c>
      <c r="I256">
        <v>10</v>
      </c>
      <c r="J256">
        <v>672.9</v>
      </c>
      <c r="K256" t="str">
        <f t="shared" si="3"/>
        <v>July</v>
      </c>
    </row>
    <row r="257" spans="1:11" x14ac:dyDescent="0.25">
      <c r="A257" s="1" t="s">
        <v>293</v>
      </c>
      <c r="B257" s="2">
        <v>45697</v>
      </c>
      <c r="C257" s="1" t="s">
        <v>17</v>
      </c>
      <c r="D257" s="1" t="s">
        <v>22</v>
      </c>
      <c r="E257" s="1" t="s">
        <v>18</v>
      </c>
      <c r="F257" s="1" t="s">
        <v>42</v>
      </c>
      <c r="G257" s="1" t="s">
        <v>15</v>
      </c>
      <c r="H257">
        <v>152.5</v>
      </c>
      <c r="I257">
        <v>17</v>
      </c>
      <c r="J257">
        <v>2592.5</v>
      </c>
      <c r="K257" t="str">
        <f t="shared" si="3"/>
        <v>February</v>
      </c>
    </row>
    <row r="258" spans="1:11" x14ac:dyDescent="0.25">
      <c r="A258" s="1" t="s">
        <v>294</v>
      </c>
      <c r="B258" s="2">
        <v>45836</v>
      </c>
      <c r="C258" s="1" t="s">
        <v>17</v>
      </c>
      <c r="D258" s="1" t="s">
        <v>12</v>
      </c>
      <c r="E258" s="1" t="s">
        <v>23</v>
      </c>
      <c r="F258" s="1" t="s">
        <v>14</v>
      </c>
      <c r="G258" s="1" t="s">
        <v>15</v>
      </c>
      <c r="H258">
        <v>235.95</v>
      </c>
      <c r="I258">
        <v>12</v>
      </c>
      <c r="J258">
        <v>2831.4</v>
      </c>
      <c r="K258" t="str">
        <f t="shared" ref="K258:K321" si="4">TEXT(B:B,"MMMM")</f>
        <v>June</v>
      </c>
    </row>
    <row r="259" spans="1:11" x14ac:dyDescent="0.25">
      <c r="A259" s="1" t="s">
        <v>295</v>
      </c>
      <c r="B259" s="2">
        <v>45732</v>
      </c>
      <c r="C259" s="1" t="s">
        <v>30</v>
      </c>
      <c r="D259" s="1" t="s">
        <v>26</v>
      </c>
      <c r="E259" s="1" t="s">
        <v>18</v>
      </c>
      <c r="F259" s="1" t="s">
        <v>14</v>
      </c>
      <c r="G259" s="1" t="s">
        <v>20</v>
      </c>
      <c r="H259">
        <v>183.13</v>
      </c>
      <c r="I259">
        <v>9</v>
      </c>
      <c r="J259">
        <v>1648.17</v>
      </c>
      <c r="K259" t="str">
        <f t="shared" si="4"/>
        <v>March</v>
      </c>
    </row>
    <row r="260" spans="1:11" x14ac:dyDescent="0.25">
      <c r="A260" s="1" t="s">
        <v>296</v>
      </c>
      <c r="B260" s="2">
        <v>45696</v>
      </c>
      <c r="C260" s="1" t="s">
        <v>17</v>
      </c>
      <c r="D260" s="1" t="s">
        <v>31</v>
      </c>
      <c r="E260" s="1" t="s">
        <v>41</v>
      </c>
      <c r="F260" s="1" t="s">
        <v>39</v>
      </c>
      <c r="G260" s="1" t="s">
        <v>20</v>
      </c>
      <c r="H260">
        <v>155.41</v>
      </c>
      <c r="I260">
        <v>6</v>
      </c>
      <c r="J260">
        <v>932.46</v>
      </c>
      <c r="K260" t="str">
        <f t="shared" si="4"/>
        <v>February</v>
      </c>
    </row>
    <row r="261" spans="1:11" x14ac:dyDescent="0.25">
      <c r="A261" s="1" t="s">
        <v>297</v>
      </c>
      <c r="B261" s="2">
        <v>45954</v>
      </c>
      <c r="C261" s="1" t="s">
        <v>17</v>
      </c>
      <c r="D261" s="1" t="s">
        <v>55</v>
      </c>
      <c r="E261" s="1" t="s">
        <v>27</v>
      </c>
      <c r="F261" s="1" t="s">
        <v>28</v>
      </c>
      <c r="G261" s="1" t="s">
        <v>20</v>
      </c>
      <c r="H261">
        <v>51.38</v>
      </c>
      <c r="I261">
        <v>15</v>
      </c>
      <c r="J261">
        <v>770.7</v>
      </c>
      <c r="K261" t="str">
        <f t="shared" si="4"/>
        <v>October</v>
      </c>
    </row>
    <row r="262" spans="1:11" x14ac:dyDescent="0.25">
      <c r="A262" s="1" t="s">
        <v>298</v>
      </c>
      <c r="B262" s="2">
        <v>45823</v>
      </c>
      <c r="C262" s="1" t="s">
        <v>30</v>
      </c>
      <c r="D262" s="1" t="s">
        <v>31</v>
      </c>
      <c r="E262" s="1" t="s">
        <v>45</v>
      </c>
      <c r="F262" s="1" t="s">
        <v>61</v>
      </c>
      <c r="G262" s="1" t="s">
        <v>36</v>
      </c>
      <c r="H262">
        <v>165.3</v>
      </c>
      <c r="I262">
        <v>11</v>
      </c>
      <c r="J262">
        <v>1818.3</v>
      </c>
      <c r="K262" t="str">
        <f t="shared" si="4"/>
        <v>June</v>
      </c>
    </row>
    <row r="263" spans="1:11" x14ac:dyDescent="0.25">
      <c r="A263" s="1" t="s">
        <v>299</v>
      </c>
      <c r="B263" s="2">
        <v>45981</v>
      </c>
      <c r="C263" s="1" t="s">
        <v>34</v>
      </c>
      <c r="D263" s="1" t="s">
        <v>55</v>
      </c>
      <c r="E263" s="1" t="s">
        <v>45</v>
      </c>
      <c r="F263" s="1" t="s">
        <v>32</v>
      </c>
      <c r="G263" s="1" t="s">
        <v>20</v>
      </c>
      <c r="H263">
        <v>247.81</v>
      </c>
      <c r="I263">
        <v>10</v>
      </c>
      <c r="J263">
        <v>2478.1</v>
      </c>
      <c r="K263" t="str">
        <f t="shared" si="4"/>
        <v>November</v>
      </c>
    </row>
    <row r="264" spans="1:11" x14ac:dyDescent="0.25">
      <c r="A264" s="1" t="s">
        <v>300</v>
      </c>
      <c r="B264" s="2">
        <v>45695</v>
      </c>
      <c r="C264" s="1" t="s">
        <v>38</v>
      </c>
      <c r="D264" s="1" t="s">
        <v>31</v>
      </c>
      <c r="E264" s="1" t="s">
        <v>45</v>
      </c>
      <c r="F264" s="1" t="s">
        <v>19</v>
      </c>
      <c r="G264" s="1" t="s">
        <v>36</v>
      </c>
      <c r="H264">
        <v>60.82</v>
      </c>
      <c r="I264">
        <v>10</v>
      </c>
      <c r="J264">
        <v>608.20000000000005</v>
      </c>
      <c r="K264" t="str">
        <f t="shared" si="4"/>
        <v>February</v>
      </c>
    </row>
    <row r="265" spans="1:11" x14ac:dyDescent="0.25">
      <c r="A265" s="1" t="s">
        <v>301</v>
      </c>
      <c r="B265" s="2">
        <v>45804</v>
      </c>
      <c r="C265" s="1" t="s">
        <v>17</v>
      </c>
      <c r="D265" s="1" t="s">
        <v>22</v>
      </c>
      <c r="E265" s="1" t="s">
        <v>18</v>
      </c>
      <c r="F265" s="1" t="s">
        <v>42</v>
      </c>
      <c r="G265" s="1" t="s">
        <v>20</v>
      </c>
      <c r="H265">
        <v>144.03</v>
      </c>
      <c r="I265">
        <v>3</v>
      </c>
      <c r="J265">
        <v>432.09</v>
      </c>
      <c r="K265" t="str">
        <f t="shared" si="4"/>
        <v>May</v>
      </c>
    </row>
    <row r="266" spans="1:11" x14ac:dyDescent="0.25">
      <c r="A266" s="1" t="s">
        <v>302</v>
      </c>
      <c r="B266" s="2">
        <v>45854</v>
      </c>
      <c r="C266" s="1" t="s">
        <v>25</v>
      </c>
      <c r="D266" s="1" t="s">
        <v>55</v>
      </c>
      <c r="E266" s="1" t="s">
        <v>27</v>
      </c>
      <c r="F266" s="1" t="s">
        <v>19</v>
      </c>
      <c r="G266" s="1" t="s">
        <v>36</v>
      </c>
      <c r="H266">
        <v>223.02</v>
      </c>
      <c r="I266">
        <v>15</v>
      </c>
      <c r="J266">
        <v>3345.3</v>
      </c>
      <c r="K266" t="str">
        <f t="shared" si="4"/>
        <v>July</v>
      </c>
    </row>
    <row r="267" spans="1:11" x14ac:dyDescent="0.25">
      <c r="A267" s="1" t="s">
        <v>303</v>
      </c>
      <c r="B267" s="2">
        <v>45950</v>
      </c>
      <c r="C267" s="1" t="s">
        <v>34</v>
      </c>
      <c r="D267" s="1" t="s">
        <v>55</v>
      </c>
      <c r="E267" s="1" t="s">
        <v>41</v>
      </c>
      <c r="F267" s="1" t="s">
        <v>42</v>
      </c>
      <c r="G267" s="1" t="s">
        <v>15</v>
      </c>
      <c r="H267">
        <v>192.97</v>
      </c>
      <c r="I267">
        <v>7</v>
      </c>
      <c r="J267">
        <v>1350.79</v>
      </c>
      <c r="K267" t="str">
        <f t="shared" si="4"/>
        <v>October</v>
      </c>
    </row>
    <row r="268" spans="1:11" x14ac:dyDescent="0.25">
      <c r="A268" s="1" t="s">
        <v>304</v>
      </c>
      <c r="B268" s="2">
        <v>45689</v>
      </c>
      <c r="C268" s="1" t="s">
        <v>11</v>
      </c>
      <c r="D268" s="1" t="s">
        <v>35</v>
      </c>
      <c r="E268" s="1" t="s">
        <v>27</v>
      </c>
      <c r="F268" s="1" t="s">
        <v>19</v>
      </c>
      <c r="G268" s="1" t="s">
        <v>20</v>
      </c>
      <c r="H268">
        <v>183.34</v>
      </c>
      <c r="I268">
        <v>15</v>
      </c>
      <c r="J268">
        <v>2750.1</v>
      </c>
      <c r="K268" t="str">
        <f t="shared" si="4"/>
        <v>February</v>
      </c>
    </row>
    <row r="269" spans="1:11" x14ac:dyDescent="0.25">
      <c r="A269" s="1" t="s">
        <v>305</v>
      </c>
      <c r="B269" s="2">
        <v>45988</v>
      </c>
      <c r="C269" s="1" t="s">
        <v>11</v>
      </c>
      <c r="D269" s="1" t="s">
        <v>26</v>
      </c>
      <c r="E269" s="1" t="s">
        <v>27</v>
      </c>
      <c r="F269" s="1" t="s">
        <v>61</v>
      </c>
      <c r="G269" s="1" t="s">
        <v>36</v>
      </c>
      <c r="H269">
        <v>184.55</v>
      </c>
      <c r="I269">
        <v>6</v>
      </c>
      <c r="J269">
        <v>1107.3</v>
      </c>
      <c r="K269" t="str">
        <f t="shared" si="4"/>
        <v>November</v>
      </c>
    </row>
    <row r="270" spans="1:11" x14ac:dyDescent="0.25">
      <c r="A270" s="1" t="s">
        <v>306</v>
      </c>
      <c r="B270" s="2">
        <v>45926</v>
      </c>
      <c r="C270" s="1" t="s">
        <v>25</v>
      </c>
      <c r="D270" s="1" t="s">
        <v>26</v>
      </c>
      <c r="E270" s="1" t="s">
        <v>13</v>
      </c>
      <c r="F270" s="1" t="s">
        <v>32</v>
      </c>
      <c r="G270" s="1" t="s">
        <v>36</v>
      </c>
      <c r="H270">
        <v>109.09</v>
      </c>
      <c r="I270">
        <v>17</v>
      </c>
      <c r="J270">
        <v>1854.53</v>
      </c>
      <c r="K270" t="str">
        <f t="shared" si="4"/>
        <v>September</v>
      </c>
    </row>
    <row r="271" spans="1:11" x14ac:dyDescent="0.25">
      <c r="A271" s="1" t="s">
        <v>307</v>
      </c>
      <c r="B271" s="2">
        <v>45856</v>
      </c>
      <c r="C271" s="1" t="s">
        <v>34</v>
      </c>
      <c r="D271" s="1" t="s">
        <v>12</v>
      </c>
      <c r="E271" s="1" t="s">
        <v>18</v>
      </c>
      <c r="F271" s="1" t="s">
        <v>19</v>
      </c>
      <c r="G271" s="1" t="s">
        <v>20</v>
      </c>
      <c r="H271">
        <v>94.59</v>
      </c>
      <c r="I271">
        <v>14</v>
      </c>
      <c r="J271">
        <v>1324.26</v>
      </c>
      <c r="K271" t="str">
        <f t="shared" si="4"/>
        <v>July</v>
      </c>
    </row>
    <row r="272" spans="1:11" x14ac:dyDescent="0.25">
      <c r="A272" s="1" t="s">
        <v>308</v>
      </c>
      <c r="B272" s="2">
        <v>45989</v>
      </c>
      <c r="C272" s="1" t="s">
        <v>11</v>
      </c>
      <c r="D272" s="1" t="s">
        <v>35</v>
      </c>
      <c r="E272" s="1" t="s">
        <v>45</v>
      </c>
      <c r="F272" s="1" t="s">
        <v>42</v>
      </c>
      <c r="G272" s="1" t="s">
        <v>20</v>
      </c>
      <c r="H272">
        <v>208.06</v>
      </c>
      <c r="I272">
        <v>11</v>
      </c>
      <c r="J272">
        <v>2288.66</v>
      </c>
      <c r="K272" t="str">
        <f t="shared" si="4"/>
        <v>November</v>
      </c>
    </row>
    <row r="273" spans="1:11" x14ac:dyDescent="0.25">
      <c r="A273" s="1" t="s">
        <v>309</v>
      </c>
      <c r="B273" s="2">
        <v>45855</v>
      </c>
      <c r="C273" s="1" t="s">
        <v>34</v>
      </c>
      <c r="D273" s="1" t="s">
        <v>12</v>
      </c>
      <c r="E273" s="1" t="s">
        <v>27</v>
      </c>
      <c r="F273" s="1" t="s">
        <v>42</v>
      </c>
      <c r="G273" s="1" t="s">
        <v>15</v>
      </c>
      <c r="H273">
        <v>208.22</v>
      </c>
      <c r="I273">
        <v>10</v>
      </c>
      <c r="J273">
        <v>2082.1999999999998</v>
      </c>
      <c r="K273" t="str">
        <f t="shared" si="4"/>
        <v>July</v>
      </c>
    </row>
    <row r="274" spans="1:11" x14ac:dyDescent="0.25">
      <c r="A274" s="1" t="s">
        <v>310</v>
      </c>
      <c r="B274" s="2">
        <v>45828</v>
      </c>
      <c r="C274" s="1" t="s">
        <v>25</v>
      </c>
      <c r="D274" s="1" t="s">
        <v>12</v>
      </c>
      <c r="E274" s="1" t="s">
        <v>23</v>
      </c>
      <c r="F274" s="1" t="s">
        <v>32</v>
      </c>
      <c r="G274" s="1" t="s">
        <v>36</v>
      </c>
      <c r="H274">
        <v>220.76</v>
      </c>
      <c r="I274">
        <v>3</v>
      </c>
      <c r="J274">
        <v>662.28</v>
      </c>
      <c r="K274" t="str">
        <f t="shared" si="4"/>
        <v>June</v>
      </c>
    </row>
    <row r="275" spans="1:11" x14ac:dyDescent="0.25">
      <c r="A275" s="1" t="s">
        <v>311</v>
      </c>
      <c r="B275" s="2">
        <v>45993</v>
      </c>
      <c r="C275" s="1" t="s">
        <v>30</v>
      </c>
      <c r="D275" s="1" t="s">
        <v>55</v>
      </c>
      <c r="E275" s="1" t="s">
        <v>27</v>
      </c>
      <c r="F275" s="1" t="s">
        <v>19</v>
      </c>
      <c r="G275" s="1" t="s">
        <v>36</v>
      </c>
      <c r="H275">
        <v>230.91</v>
      </c>
      <c r="I275">
        <v>13</v>
      </c>
      <c r="J275">
        <v>3001.83</v>
      </c>
      <c r="K275" t="str">
        <f t="shared" si="4"/>
        <v>December</v>
      </c>
    </row>
    <row r="276" spans="1:11" x14ac:dyDescent="0.25">
      <c r="A276" s="1" t="s">
        <v>312</v>
      </c>
      <c r="B276" s="2">
        <v>45944</v>
      </c>
      <c r="C276" s="1" t="s">
        <v>17</v>
      </c>
      <c r="D276" s="1" t="s">
        <v>35</v>
      </c>
      <c r="E276" s="1" t="s">
        <v>23</v>
      </c>
      <c r="F276" s="1" t="s">
        <v>28</v>
      </c>
      <c r="G276" s="1" t="s">
        <v>20</v>
      </c>
      <c r="H276">
        <v>142.5</v>
      </c>
      <c r="I276">
        <v>13</v>
      </c>
      <c r="J276">
        <v>1852.5</v>
      </c>
      <c r="K276" t="str">
        <f t="shared" si="4"/>
        <v>October</v>
      </c>
    </row>
    <row r="277" spans="1:11" x14ac:dyDescent="0.25">
      <c r="A277" s="1" t="s">
        <v>313</v>
      </c>
      <c r="B277" s="2">
        <v>46008</v>
      </c>
      <c r="C277" s="1" t="s">
        <v>11</v>
      </c>
      <c r="D277" s="1" t="s">
        <v>12</v>
      </c>
      <c r="E277" s="1" t="s">
        <v>27</v>
      </c>
      <c r="F277" s="1" t="s">
        <v>61</v>
      </c>
      <c r="G277" s="1" t="s">
        <v>20</v>
      </c>
      <c r="H277">
        <v>140.33000000000001</v>
      </c>
      <c r="I277">
        <v>17</v>
      </c>
      <c r="J277">
        <v>2385.61</v>
      </c>
      <c r="K277" t="str">
        <f t="shared" si="4"/>
        <v>December</v>
      </c>
    </row>
    <row r="278" spans="1:11" x14ac:dyDescent="0.25">
      <c r="A278" s="1" t="s">
        <v>314</v>
      </c>
      <c r="B278" s="2">
        <v>45843</v>
      </c>
      <c r="C278" s="1" t="s">
        <v>34</v>
      </c>
      <c r="D278" s="1" t="s">
        <v>35</v>
      </c>
      <c r="E278" s="1" t="s">
        <v>23</v>
      </c>
      <c r="F278" s="1" t="s">
        <v>14</v>
      </c>
      <c r="G278" s="1" t="s">
        <v>36</v>
      </c>
      <c r="H278">
        <v>205.62</v>
      </c>
      <c r="I278">
        <v>1</v>
      </c>
      <c r="J278">
        <v>205.62</v>
      </c>
      <c r="K278" t="str">
        <f t="shared" si="4"/>
        <v>July</v>
      </c>
    </row>
    <row r="279" spans="1:11" x14ac:dyDescent="0.25">
      <c r="A279" s="1" t="s">
        <v>315</v>
      </c>
      <c r="B279" s="2">
        <v>45906</v>
      </c>
      <c r="C279" s="1" t="s">
        <v>30</v>
      </c>
      <c r="D279" s="1" t="s">
        <v>26</v>
      </c>
      <c r="E279" s="1" t="s">
        <v>23</v>
      </c>
      <c r="F279" s="1" t="s">
        <v>19</v>
      </c>
      <c r="G279" s="1" t="s">
        <v>36</v>
      </c>
      <c r="H279">
        <v>172.99</v>
      </c>
      <c r="I279">
        <v>7</v>
      </c>
      <c r="J279">
        <v>1210.93</v>
      </c>
      <c r="K279" t="str">
        <f t="shared" si="4"/>
        <v>September</v>
      </c>
    </row>
    <row r="280" spans="1:11" x14ac:dyDescent="0.25">
      <c r="A280" s="1" t="s">
        <v>316</v>
      </c>
      <c r="B280" s="2">
        <v>45709</v>
      </c>
      <c r="C280" s="1" t="s">
        <v>25</v>
      </c>
      <c r="D280" s="1" t="s">
        <v>12</v>
      </c>
      <c r="E280" s="1" t="s">
        <v>18</v>
      </c>
      <c r="F280" s="1" t="s">
        <v>19</v>
      </c>
      <c r="G280" s="1" t="s">
        <v>20</v>
      </c>
      <c r="H280">
        <v>184.43</v>
      </c>
      <c r="I280">
        <v>17</v>
      </c>
      <c r="J280">
        <v>3135.31</v>
      </c>
      <c r="K280" t="str">
        <f t="shared" si="4"/>
        <v>February</v>
      </c>
    </row>
    <row r="281" spans="1:11" x14ac:dyDescent="0.25">
      <c r="A281" s="1" t="s">
        <v>317</v>
      </c>
      <c r="B281" s="2">
        <v>45830</v>
      </c>
      <c r="C281" s="1" t="s">
        <v>30</v>
      </c>
      <c r="D281" s="1" t="s">
        <v>55</v>
      </c>
      <c r="E281" s="1" t="s">
        <v>41</v>
      </c>
      <c r="F281" s="1" t="s">
        <v>14</v>
      </c>
      <c r="G281" s="1" t="s">
        <v>15</v>
      </c>
      <c r="H281">
        <v>205.07</v>
      </c>
      <c r="I281">
        <v>20</v>
      </c>
      <c r="J281">
        <v>4101.3999999999996</v>
      </c>
      <c r="K281" t="str">
        <f t="shared" si="4"/>
        <v>June</v>
      </c>
    </row>
    <row r="282" spans="1:11" x14ac:dyDescent="0.25">
      <c r="A282" s="1" t="s">
        <v>318</v>
      </c>
      <c r="B282" s="2">
        <v>45750</v>
      </c>
      <c r="C282" s="1" t="s">
        <v>30</v>
      </c>
      <c r="D282" s="1" t="s">
        <v>12</v>
      </c>
      <c r="E282" s="1" t="s">
        <v>41</v>
      </c>
      <c r="F282" s="1" t="s">
        <v>19</v>
      </c>
      <c r="G282" s="1" t="s">
        <v>36</v>
      </c>
      <c r="H282">
        <v>225.8</v>
      </c>
      <c r="I282">
        <v>20</v>
      </c>
      <c r="J282">
        <v>4516</v>
      </c>
      <c r="K282" t="str">
        <f t="shared" si="4"/>
        <v>April</v>
      </c>
    </row>
    <row r="283" spans="1:11" x14ac:dyDescent="0.25">
      <c r="A283" s="1" t="s">
        <v>319</v>
      </c>
      <c r="B283" s="2">
        <v>45844</v>
      </c>
      <c r="C283" s="1" t="s">
        <v>38</v>
      </c>
      <c r="D283" s="1" t="s">
        <v>55</v>
      </c>
      <c r="E283" s="1" t="s">
        <v>13</v>
      </c>
      <c r="F283" s="1" t="s">
        <v>39</v>
      </c>
      <c r="G283" s="1" t="s">
        <v>20</v>
      </c>
      <c r="H283">
        <v>104.36</v>
      </c>
      <c r="I283">
        <v>8</v>
      </c>
      <c r="J283">
        <v>834.88</v>
      </c>
      <c r="K283" t="str">
        <f t="shared" si="4"/>
        <v>July</v>
      </c>
    </row>
    <row r="284" spans="1:11" x14ac:dyDescent="0.25">
      <c r="A284" s="1" t="s">
        <v>320</v>
      </c>
      <c r="B284" s="2">
        <v>45887</v>
      </c>
      <c r="C284" s="1" t="s">
        <v>25</v>
      </c>
      <c r="D284" s="1" t="s">
        <v>26</v>
      </c>
      <c r="E284" s="1" t="s">
        <v>13</v>
      </c>
      <c r="F284" s="1" t="s">
        <v>39</v>
      </c>
      <c r="G284" s="1" t="s">
        <v>36</v>
      </c>
      <c r="H284">
        <v>112.63</v>
      </c>
      <c r="I284">
        <v>8</v>
      </c>
      <c r="J284">
        <v>901.04</v>
      </c>
      <c r="K284" t="str">
        <f t="shared" si="4"/>
        <v>August</v>
      </c>
    </row>
    <row r="285" spans="1:11" x14ac:dyDescent="0.25">
      <c r="A285" s="1" t="s">
        <v>321</v>
      </c>
      <c r="B285" s="2">
        <v>45757</v>
      </c>
      <c r="C285" s="1" t="s">
        <v>17</v>
      </c>
      <c r="D285" s="1" t="s">
        <v>55</v>
      </c>
      <c r="E285" s="1" t="s">
        <v>41</v>
      </c>
      <c r="F285" s="1" t="s">
        <v>61</v>
      </c>
      <c r="G285" s="1" t="s">
        <v>36</v>
      </c>
      <c r="H285">
        <v>50.68</v>
      </c>
      <c r="I285">
        <v>12</v>
      </c>
      <c r="J285">
        <v>608.16</v>
      </c>
      <c r="K285" t="str">
        <f t="shared" si="4"/>
        <v>April</v>
      </c>
    </row>
    <row r="286" spans="1:11" x14ac:dyDescent="0.25">
      <c r="A286" s="1" t="s">
        <v>322</v>
      </c>
      <c r="B286" s="2">
        <v>45853</v>
      </c>
      <c r="C286" s="1" t="s">
        <v>25</v>
      </c>
      <c r="D286" s="1" t="s">
        <v>31</v>
      </c>
      <c r="E286" s="1" t="s">
        <v>23</v>
      </c>
      <c r="F286" s="1" t="s">
        <v>39</v>
      </c>
      <c r="G286" s="1" t="s">
        <v>15</v>
      </c>
      <c r="H286">
        <v>157.22</v>
      </c>
      <c r="I286">
        <v>17</v>
      </c>
      <c r="J286">
        <v>2672.74</v>
      </c>
      <c r="K286" t="str">
        <f t="shared" si="4"/>
        <v>July</v>
      </c>
    </row>
    <row r="287" spans="1:11" x14ac:dyDescent="0.25">
      <c r="A287" s="1" t="s">
        <v>323</v>
      </c>
      <c r="B287" s="2">
        <v>45967</v>
      </c>
      <c r="C287" s="1" t="s">
        <v>34</v>
      </c>
      <c r="D287" s="1" t="s">
        <v>22</v>
      </c>
      <c r="E287" s="1" t="s">
        <v>27</v>
      </c>
      <c r="F287" s="1" t="s">
        <v>61</v>
      </c>
      <c r="G287" s="1" t="s">
        <v>36</v>
      </c>
      <c r="H287">
        <v>37.909999999999997</v>
      </c>
      <c r="I287">
        <v>5</v>
      </c>
      <c r="J287">
        <v>189.55</v>
      </c>
      <c r="K287" t="str">
        <f t="shared" si="4"/>
        <v>November</v>
      </c>
    </row>
    <row r="288" spans="1:11" x14ac:dyDescent="0.25">
      <c r="A288" s="1" t="s">
        <v>324</v>
      </c>
      <c r="B288" s="2">
        <v>45941</v>
      </c>
      <c r="C288" s="1" t="s">
        <v>17</v>
      </c>
      <c r="D288" s="1" t="s">
        <v>55</v>
      </c>
      <c r="E288" s="1" t="s">
        <v>45</v>
      </c>
      <c r="F288" s="1" t="s">
        <v>32</v>
      </c>
      <c r="G288" s="1" t="s">
        <v>15</v>
      </c>
      <c r="H288">
        <v>132.43</v>
      </c>
      <c r="I288">
        <v>4</v>
      </c>
      <c r="J288">
        <v>529.72</v>
      </c>
      <c r="K288" t="str">
        <f t="shared" si="4"/>
        <v>October</v>
      </c>
    </row>
    <row r="289" spans="1:11" x14ac:dyDescent="0.25">
      <c r="A289" s="1" t="s">
        <v>325</v>
      </c>
      <c r="B289" s="2">
        <v>45740</v>
      </c>
      <c r="C289" s="1" t="s">
        <v>38</v>
      </c>
      <c r="D289" s="1" t="s">
        <v>55</v>
      </c>
      <c r="E289" s="1" t="s">
        <v>23</v>
      </c>
      <c r="F289" s="1" t="s">
        <v>39</v>
      </c>
      <c r="G289" s="1" t="s">
        <v>36</v>
      </c>
      <c r="H289">
        <v>149.38</v>
      </c>
      <c r="I289">
        <v>9</v>
      </c>
      <c r="J289">
        <v>1344.42</v>
      </c>
      <c r="K289" t="str">
        <f t="shared" si="4"/>
        <v>March</v>
      </c>
    </row>
    <row r="290" spans="1:11" x14ac:dyDescent="0.25">
      <c r="A290" s="1" t="s">
        <v>326</v>
      </c>
      <c r="B290" s="2">
        <v>45704</v>
      </c>
      <c r="C290" s="1" t="s">
        <v>38</v>
      </c>
      <c r="D290" s="1" t="s">
        <v>35</v>
      </c>
      <c r="E290" s="1" t="s">
        <v>45</v>
      </c>
      <c r="F290" s="1" t="s">
        <v>61</v>
      </c>
      <c r="G290" s="1" t="s">
        <v>15</v>
      </c>
      <c r="H290">
        <v>93.04</v>
      </c>
      <c r="I290">
        <v>8</v>
      </c>
      <c r="J290">
        <v>744.32</v>
      </c>
      <c r="K290" t="str">
        <f t="shared" si="4"/>
        <v>February</v>
      </c>
    </row>
    <row r="291" spans="1:11" x14ac:dyDescent="0.25">
      <c r="A291" s="1" t="s">
        <v>327</v>
      </c>
      <c r="B291" s="2">
        <v>45860</v>
      </c>
      <c r="C291" s="1" t="s">
        <v>34</v>
      </c>
      <c r="D291" s="1" t="s">
        <v>26</v>
      </c>
      <c r="E291" s="1" t="s">
        <v>41</v>
      </c>
      <c r="F291" s="1" t="s">
        <v>19</v>
      </c>
      <c r="G291" s="1" t="s">
        <v>36</v>
      </c>
      <c r="H291">
        <v>159.97999999999999</v>
      </c>
      <c r="I291">
        <v>17</v>
      </c>
      <c r="J291">
        <v>2719.66</v>
      </c>
      <c r="K291" t="str">
        <f t="shared" si="4"/>
        <v>July</v>
      </c>
    </row>
    <row r="292" spans="1:11" x14ac:dyDescent="0.25">
      <c r="A292" s="1" t="s">
        <v>328</v>
      </c>
      <c r="B292" s="2">
        <v>45772</v>
      </c>
      <c r="C292" s="1" t="s">
        <v>34</v>
      </c>
      <c r="D292" s="1" t="s">
        <v>22</v>
      </c>
      <c r="E292" s="1" t="s">
        <v>27</v>
      </c>
      <c r="F292" s="1" t="s">
        <v>28</v>
      </c>
      <c r="G292" s="1" t="s">
        <v>36</v>
      </c>
      <c r="H292">
        <v>36.71</v>
      </c>
      <c r="I292">
        <v>1</v>
      </c>
      <c r="J292">
        <v>36.71</v>
      </c>
      <c r="K292" t="str">
        <f t="shared" si="4"/>
        <v>April</v>
      </c>
    </row>
    <row r="293" spans="1:11" x14ac:dyDescent="0.25">
      <c r="A293" s="1" t="s">
        <v>329</v>
      </c>
      <c r="B293" s="2">
        <v>45732</v>
      </c>
      <c r="C293" s="1" t="s">
        <v>11</v>
      </c>
      <c r="D293" s="1" t="s">
        <v>35</v>
      </c>
      <c r="E293" s="1" t="s">
        <v>41</v>
      </c>
      <c r="F293" s="1" t="s">
        <v>28</v>
      </c>
      <c r="G293" s="1" t="s">
        <v>15</v>
      </c>
      <c r="H293">
        <v>38.22</v>
      </c>
      <c r="I293">
        <v>5</v>
      </c>
      <c r="J293">
        <v>191.1</v>
      </c>
      <c r="K293" t="str">
        <f t="shared" si="4"/>
        <v>March</v>
      </c>
    </row>
    <row r="294" spans="1:11" x14ac:dyDescent="0.25">
      <c r="A294" s="1" t="s">
        <v>330</v>
      </c>
      <c r="B294" s="2">
        <v>46019</v>
      </c>
      <c r="C294" s="1" t="s">
        <v>38</v>
      </c>
      <c r="D294" s="1" t="s">
        <v>55</v>
      </c>
      <c r="E294" s="1" t="s">
        <v>45</v>
      </c>
      <c r="F294" s="1" t="s">
        <v>19</v>
      </c>
      <c r="G294" s="1" t="s">
        <v>15</v>
      </c>
      <c r="H294">
        <v>210.97</v>
      </c>
      <c r="I294">
        <v>16</v>
      </c>
      <c r="J294">
        <v>3375.52</v>
      </c>
      <c r="K294" t="str">
        <f t="shared" si="4"/>
        <v>December</v>
      </c>
    </row>
    <row r="295" spans="1:11" x14ac:dyDescent="0.25">
      <c r="A295" s="1" t="s">
        <v>331</v>
      </c>
      <c r="B295" s="2">
        <v>45789</v>
      </c>
      <c r="C295" s="1" t="s">
        <v>30</v>
      </c>
      <c r="D295" s="1" t="s">
        <v>55</v>
      </c>
      <c r="E295" s="1" t="s">
        <v>27</v>
      </c>
      <c r="F295" s="1" t="s">
        <v>42</v>
      </c>
      <c r="G295" s="1" t="s">
        <v>20</v>
      </c>
      <c r="H295">
        <v>109.24</v>
      </c>
      <c r="I295">
        <v>7</v>
      </c>
      <c r="J295">
        <v>764.68</v>
      </c>
      <c r="K295" t="str">
        <f t="shared" si="4"/>
        <v>May</v>
      </c>
    </row>
    <row r="296" spans="1:11" x14ac:dyDescent="0.25">
      <c r="A296" s="1" t="s">
        <v>332</v>
      </c>
      <c r="B296" s="2">
        <v>45874</v>
      </c>
      <c r="C296" s="1" t="s">
        <v>34</v>
      </c>
      <c r="D296" s="1" t="s">
        <v>26</v>
      </c>
      <c r="E296" s="1" t="s">
        <v>13</v>
      </c>
      <c r="F296" s="1" t="s">
        <v>19</v>
      </c>
      <c r="G296" s="1" t="s">
        <v>15</v>
      </c>
      <c r="H296">
        <v>57.95</v>
      </c>
      <c r="I296">
        <v>4</v>
      </c>
      <c r="J296">
        <v>231.8</v>
      </c>
      <c r="K296" t="str">
        <f t="shared" si="4"/>
        <v>August</v>
      </c>
    </row>
    <row r="297" spans="1:11" x14ac:dyDescent="0.25">
      <c r="A297" s="1" t="s">
        <v>333</v>
      </c>
      <c r="B297" s="2">
        <v>45780</v>
      </c>
      <c r="C297" s="1" t="s">
        <v>17</v>
      </c>
      <c r="D297" s="1" t="s">
        <v>55</v>
      </c>
      <c r="E297" s="1" t="s">
        <v>41</v>
      </c>
      <c r="F297" s="1" t="s">
        <v>19</v>
      </c>
      <c r="G297" s="1" t="s">
        <v>15</v>
      </c>
      <c r="H297">
        <v>144.88999999999999</v>
      </c>
      <c r="I297">
        <v>14</v>
      </c>
      <c r="J297">
        <v>2028.46</v>
      </c>
      <c r="K297" t="str">
        <f t="shared" si="4"/>
        <v>May</v>
      </c>
    </row>
    <row r="298" spans="1:11" x14ac:dyDescent="0.25">
      <c r="A298" s="1" t="s">
        <v>334</v>
      </c>
      <c r="B298" s="2">
        <v>45913</v>
      </c>
      <c r="C298" s="1" t="s">
        <v>25</v>
      </c>
      <c r="D298" s="1" t="s">
        <v>22</v>
      </c>
      <c r="E298" s="1" t="s">
        <v>27</v>
      </c>
      <c r="F298" s="1" t="s">
        <v>42</v>
      </c>
      <c r="G298" s="1" t="s">
        <v>20</v>
      </c>
      <c r="H298">
        <v>199.4</v>
      </c>
      <c r="I298">
        <v>20</v>
      </c>
      <c r="J298">
        <v>3988</v>
      </c>
      <c r="K298" t="str">
        <f t="shared" si="4"/>
        <v>September</v>
      </c>
    </row>
    <row r="299" spans="1:11" x14ac:dyDescent="0.25">
      <c r="A299" s="1" t="s">
        <v>335</v>
      </c>
      <c r="B299" s="2">
        <v>45781</v>
      </c>
      <c r="C299" s="1" t="s">
        <v>34</v>
      </c>
      <c r="D299" s="1" t="s">
        <v>31</v>
      </c>
      <c r="E299" s="1" t="s">
        <v>45</v>
      </c>
      <c r="F299" s="1" t="s">
        <v>42</v>
      </c>
      <c r="G299" s="1" t="s">
        <v>36</v>
      </c>
      <c r="H299">
        <v>77.48</v>
      </c>
      <c r="I299">
        <v>5</v>
      </c>
      <c r="J299">
        <v>387.4</v>
      </c>
      <c r="K299" t="str">
        <f t="shared" si="4"/>
        <v>May</v>
      </c>
    </row>
    <row r="300" spans="1:11" x14ac:dyDescent="0.25">
      <c r="A300" s="1" t="s">
        <v>336</v>
      </c>
      <c r="B300" s="2">
        <v>45781</v>
      </c>
      <c r="C300" s="1" t="s">
        <v>38</v>
      </c>
      <c r="D300" s="1" t="s">
        <v>26</v>
      </c>
      <c r="E300" s="1" t="s">
        <v>27</v>
      </c>
      <c r="F300" s="1" t="s">
        <v>28</v>
      </c>
      <c r="G300" s="1" t="s">
        <v>15</v>
      </c>
      <c r="H300">
        <v>167.04</v>
      </c>
      <c r="I300">
        <v>19</v>
      </c>
      <c r="J300">
        <v>3173.76</v>
      </c>
      <c r="K300" t="str">
        <f t="shared" si="4"/>
        <v>May</v>
      </c>
    </row>
    <row r="301" spans="1:11" x14ac:dyDescent="0.25">
      <c r="A301" s="1" t="s">
        <v>337</v>
      </c>
      <c r="B301" s="2">
        <v>45926</v>
      </c>
      <c r="C301" s="1" t="s">
        <v>11</v>
      </c>
      <c r="D301" s="1" t="s">
        <v>55</v>
      </c>
      <c r="E301" s="1" t="s">
        <v>18</v>
      </c>
      <c r="F301" s="1" t="s">
        <v>42</v>
      </c>
      <c r="G301" s="1" t="s">
        <v>20</v>
      </c>
      <c r="H301">
        <v>48.78</v>
      </c>
      <c r="I301">
        <v>12</v>
      </c>
      <c r="J301">
        <v>585.36</v>
      </c>
      <c r="K301" t="str">
        <f t="shared" si="4"/>
        <v>September</v>
      </c>
    </row>
    <row r="302" spans="1:11" x14ac:dyDescent="0.25">
      <c r="A302" s="1" t="s">
        <v>338</v>
      </c>
      <c r="B302" s="2">
        <v>45941</v>
      </c>
      <c r="C302" s="1" t="s">
        <v>38</v>
      </c>
      <c r="D302" s="1" t="s">
        <v>31</v>
      </c>
      <c r="E302" s="1" t="s">
        <v>45</v>
      </c>
      <c r="F302" s="1" t="s">
        <v>28</v>
      </c>
      <c r="G302" s="1" t="s">
        <v>36</v>
      </c>
      <c r="H302">
        <v>41.37</v>
      </c>
      <c r="I302">
        <v>1</v>
      </c>
      <c r="J302">
        <v>41.37</v>
      </c>
      <c r="K302" t="str">
        <f t="shared" si="4"/>
        <v>October</v>
      </c>
    </row>
    <row r="303" spans="1:11" x14ac:dyDescent="0.25">
      <c r="A303" s="1" t="s">
        <v>339</v>
      </c>
      <c r="B303" s="2">
        <v>45849</v>
      </c>
      <c r="C303" s="1" t="s">
        <v>17</v>
      </c>
      <c r="D303" s="1" t="s">
        <v>22</v>
      </c>
      <c r="E303" s="1" t="s">
        <v>13</v>
      </c>
      <c r="F303" s="1" t="s">
        <v>39</v>
      </c>
      <c r="G303" s="1" t="s">
        <v>15</v>
      </c>
      <c r="H303">
        <v>146.9</v>
      </c>
      <c r="I303">
        <v>9</v>
      </c>
      <c r="J303">
        <v>1322.1</v>
      </c>
      <c r="K303" t="str">
        <f t="shared" si="4"/>
        <v>July</v>
      </c>
    </row>
    <row r="304" spans="1:11" x14ac:dyDescent="0.25">
      <c r="A304" s="1" t="s">
        <v>340</v>
      </c>
      <c r="B304" s="2">
        <v>45834</v>
      </c>
      <c r="C304" s="1" t="s">
        <v>17</v>
      </c>
      <c r="D304" s="1" t="s">
        <v>12</v>
      </c>
      <c r="E304" s="1" t="s">
        <v>27</v>
      </c>
      <c r="F304" s="1" t="s">
        <v>19</v>
      </c>
      <c r="G304" s="1" t="s">
        <v>20</v>
      </c>
      <c r="H304">
        <v>148.94</v>
      </c>
      <c r="I304">
        <v>8</v>
      </c>
      <c r="J304">
        <v>1191.52</v>
      </c>
      <c r="K304" t="str">
        <f t="shared" si="4"/>
        <v>June</v>
      </c>
    </row>
    <row r="305" spans="1:11" x14ac:dyDescent="0.25">
      <c r="A305" s="1" t="s">
        <v>341</v>
      </c>
      <c r="B305" s="2">
        <v>45828</v>
      </c>
      <c r="C305" s="1" t="s">
        <v>11</v>
      </c>
      <c r="D305" s="1" t="s">
        <v>35</v>
      </c>
      <c r="E305" s="1" t="s">
        <v>18</v>
      </c>
      <c r="F305" s="1" t="s">
        <v>32</v>
      </c>
      <c r="G305" s="1" t="s">
        <v>20</v>
      </c>
      <c r="H305">
        <v>170.23</v>
      </c>
      <c r="I305">
        <v>5</v>
      </c>
      <c r="J305">
        <v>851.15</v>
      </c>
      <c r="K305" t="str">
        <f t="shared" si="4"/>
        <v>June</v>
      </c>
    </row>
    <row r="306" spans="1:11" x14ac:dyDescent="0.25">
      <c r="A306" s="1" t="s">
        <v>342</v>
      </c>
      <c r="B306" s="2">
        <v>45747</v>
      </c>
      <c r="C306" s="1" t="s">
        <v>17</v>
      </c>
      <c r="D306" s="1" t="s">
        <v>31</v>
      </c>
      <c r="E306" s="1" t="s">
        <v>27</v>
      </c>
      <c r="F306" s="1" t="s">
        <v>14</v>
      </c>
      <c r="G306" s="1" t="s">
        <v>15</v>
      </c>
      <c r="H306">
        <v>189.74</v>
      </c>
      <c r="I306">
        <v>15</v>
      </c>
      <c r="J306">
        <v>2846.1</v>
      </c>
      <c r="K306" t="str">
        <f t="shared" si="4"/>
        <v>March</v>
      </c>
    </row>
    <row r="307" spans="1:11" x14ac:dyDescent="0.25">
      <c r="A307" s="1" t="s">
        <v>343</v>
      </c>
      <c r="B307" s="2">
        <v>45690</v>
      </c>
      <c r="C307" s="1" t="s">
        <v>11</v>
      </c>
      <c r="D307" s="1" t="s">
        <v>35</v>
      </c>
      <c r="E307" s="1" t="s">
        <v>23</v>
      </c>
      <c r="F307" s="1" t="s">
        <v>19</v>
      </c>
      <c r="G307" s="1" t="s">
        <v>15</v>
      </c>
      <c r="H307">
        <v>244.69</v>
      </c>
      <c r="I307">
        <v>15</v>
      </c>
      <c r="J307">
        <v>3670.35</v>
      </c>
      <c r="K307" t="str">
        <f t="shared" si="4"/>
        <v>February</v>
      </c>
    </row>
    <row r="308" spans="1:11" x14ac:dyDescent="0.25">
      <c r="A308" s="1" t="s">
        <v>344</v>
      </c>
      <c r="B308" s="2">
        <v>45679</v>
      </c>
      <c r="C308" s="1" t="s">
        <v>34</v>
      </c>
      <c r="D308" s="1" t="s">
        <v>55</v>
      </c>
      <c r="E308" s="1" t="s">
        <v>41</v>
      </c>
      <c r="F308" s="1" t="s">
        <v>39</v>
      </c>
      <c r="G308" s="1" t="s">
        <v>20</v>
      </c>
      <c r="H308">
        <v>143.59</v>
      </c>
      <c r="I308">
        <v>11</v>
      </c>
      <c r="J308">
        <v>1579.49</v>
      </c>
      <c r="K308" t="str">
        <f t="shared" si="4"/>
        <v>January</v>
      </c>
    </row>
    <row r="309" spans="1:11" x14ac:dyDescent="0.25">
      <c r="A309" s="1" t="s">
        <v>345</v>
      </c>
      <c r="B309" s="2">
        <v>45900</v>
      </c>
      <c r="C309" s="1" t="s">
        <v>11</v>
      </c>
      <c r="D309" s="1" t="s">
        <v>12</v>
      </c>
      <c r="E309" s="1" t="s">
        <v>23</v>
      </c>
      <c r="F309" s="1" t="s">
        <v>32</v>
      </c>
      <c r="G309" s="1" t="s">
        <v>36</v>
      </c>
      <c r="H309">
        <v>101.05</v>
      </c>
      <c r="I309">
        <v>9</v>
      </c>
      <c r="J309">
        <v>909.45</v>
      </c>
      <c r="K309" t="str">
        <f t="shared" si="4"/>
        <v>August</v>
      </c>
    </row>
    <row r="310" spans="1:11" x14ac:dyDescent="0.25">
      <c r="A310" s="1" t="s">
        <v>346</v>
      </c>
      <c r="B310" s="2">
        <v>45682</v>
      </c>
      <c r="C310" s="1" t="s">
        <v>34</v>
      </c>
      <c r="D310" s="1" t="s">
        <v>22</v>
      </c>
      <c r="E310" s="1" t="s">
        <v>13</v>
      </c>
      <c r="F310" s="1" t="s">
        <v>61</v>
      </c>
      <c r="G310" s="1" t="s">
        <v>36</v>
      </c>
      <c r="H310">
        <v>204.94</v>
      </c>
      <c r="I310">
        <v>11</v>
      </c>
      <c r="J310">
        <v>2254.34</v>
      </c>
      <c r="K310" t="str">
        <f t="shared" si="4"/>
        <v>January</v>
      </c>
    </row>
    <row r="311" spans="1:11" x14ac:dyDescent="0.25">
      <c r="A311" s="1" t="s">
        <v>347</v>
      </c>
      <c r="B311" s="2">
        <v>45883</v>
      </c>
      <c r="C311" s="1" t="s">
        <v>34</v>
      </c>
      <c r="D311" s="1" t="s">
        <v>26</v>
      </c>
      <c r="E311" s="1" t="s">
        <v>41</v>
      </c>
      <c r="F311" s="1" t="s">
        <v>28</v>
      </c>
      <c r="G311" s="1" t="s">
        <v>36</v>
      </c>
      <c r="H311">
        <v>89.58</v>
      </c>
      <c r="I311">
        <v>13</v>
      </c>
      <c r="J311">
        <v>1164.54</v>
      </c>
      <c r="K311" t="str">
        <f t="shared" si="4"/>
        <v>August</v>
      </c>
    </row>
    <row r="312" spans="1:11" x14ac:dyDescent="0.25">
      <c r="A312" s="1" t="s">
        <v>348</v>
      </c>
      <c r="B312" s="2">
        <v>45846</v>
      </c>
      <c r="C312" s="1" t="s">
        <v>34</v>
      </c>
      <c r="D312" s="1" t="s">
        <v>22</v>
      </c>
      <c r="E312" s="1" t="s">
        <v>27</v>
      </c>
      <c r="F312" s="1" t="s">
        <v>61</v>
      </c>
      <c r="G312" s="1" t="s">
        <v>15</v>
      </c>
      <c r="H312">
        <v>126.57</v>
      </c>
      <c r="I312">
        <v>17</v>
      </c>
      <c r="J312">
        <v>2151.69</v>
      </c>
      <c r="K312" t="str">
        <f t="shared" si="4"/>
        <v>July</v>
      </c>
    </row>
    <row r="313" spans="1:11" x14ac:dyDescent="0.25">
      <c r="A313" s="1" t="s">
        <v>349</v>
      </c>
      <c r="B313" s="2">
        <v>45878</v>
      </c>
      <c r="C313" s="1" t="s">
        <v>30</v>
      </c>
      <c r="D313" s="1" t="s">
        <v>55</v>
      </c>
      <c r="E313" s="1" t="s">
        <v>13</v>
      </c>
      <c r="F313" s="1" t="s">
        <v>32</v>
      </c>
      <c r="G313" s="1" t="s">
        <v>15</v>
      </c>
      <c r="H313">
        <v>47.26</v>
      </c>
      <c r="I313">
        <v>20</v>
      </c>
      <c r="J313">
        <v>945.2</v>
      </c>
      <c r="K313" t="str">
        <f t="shared" si="4"/>
        <v>August</v>
      </c>
    </row>
    <row r="314" spans="1:11" x14ac:dyDescent="0.25">
      <c r="A314" s="1" t="s">
        <v>350</v>
      </c>
      <c r="B314" s="2">
        <v>45698</v>
      </c>
      <c r="C314" s="1" t="s">
        <v>17</v>
      </c>
      <c r="D314" s="1" t="s">
        <v>35</v>
      </c>
      <c r="E314" s="1" t="s">
        <v>13</v>
      </c>
      <c r="F314" s="1" t="s">
        <v>61</v>
      </c>
      <c r="G314" s="1" t="s">
        <v>20</v>
      </c>
      <c r="H314">
        <v>35.58</v>
      </c>
      <c r="I314">
        <v>11</v>
      </c>
      <c r="J314">
        <v>391.38</v>
      </c>
      <c r="K314" t="str">
        <f t="shared" si="4"/>
        <v>February</v>
      </c>
    </row>
    <row r="315" spans="1:11" x14ac:dyDescent="0.25">
      <c r="A315" s="1" t="s">
        <v>351</v>
      </c>
      <c r="B315" s="2">
        <v>45876</v>
      </c>
      <c r="C315" s="1" t="s">
        <v>17</v>
      </c>
      <c r="D315" s="1" t="s">
        <v>31</v>
      </c>
      <c r="E315" s="1" t="s">
        <v>13</v>
      </c>
      <c r="F315" s="1" t="s">
        <v>61</v>
      </c>
      <c r="G315" s="1" t="s">
        <v>15</v>
      </c>
      <c r="H315">
        <v>241.78</v>
      </c>
      <c r="I315">
        <v>6</v>
      </c>
      <c r="J315">
        <v>1450.68</v>
      </c>
      <c r="K315" t="str">
        <f t="shared" si="4"/>
        <v>August</v>
      </c>
    </row>
    <row r="316" spans="1:11" x14ac:dyDescent="0.25">
      <c r="A316" s="1" t="s">
        <v>352</v>
      </c>
      <c r="B316" s="2">
        <v>45838</v>
      </c>
      <c r="C316" s="1" t="s">
        <v>38</v>
      </c>
      <c r="D316" s="1" t="s">
        <v>35</v>
      </c>
      <c r="E316" s="1" t="s">
        <v>27</v>
      </c>
      <c r="F316" s="1" t="s">
        <v>39</v>
      </c>
      <c r="G316" s="1" t="s">
        <v>15</v>
      </c>
      <c r="H316">
        <v>213.92</v>
      </c>
      <c r="I316">
        <v>20</v>
      </c>
      <c r="J316">
        <v>4278.3999999999996</v>
      </c>
      <c r="K316" t="str">
        <f t="shared" si="4"/>
        <v>June</v>
      </c>
    </row>
    <row r="317" spans="1:11" x14ac:dyDescent="0.25">
      <c r="A317" s="1" t="s">
        <v>353</v>
      </c>
      <c r="B317" s="2">
        <v>45696</v>
      </c>
      <c r="C317" s="1" t="s">
        <v>34</v>
      </c>
      <c r="D317" s="1" t="s">
        <v>55</v>
      </c>
      <c r="E317" s="1" t="s">
        <v>27</v>
      </c>
      <c r="F317" s="1" t="s">
        <v>28</v>
      </c>
      <c r="G317" s="1" t="s">
        <v>15</v>
      </c>
      <c r="H317">
        <v>183.11</v>
      </c>
      <c r="I317">
        <v>13</v>
      </c>
      <c r="J317">
        <v>2380.4299999999998</v>
      </c>
      <c r="K317" t="str">
        <f t="shared" si="4"/>
        <v>February</v>
      </c>
    </row>
    <row r="318" spans="1:11" x14ac:dyDescent="0.25">
      <c r="A318" s="1" t="s">
        <v>354</v>
      </c>
      <c r="B318" s="2">
        <v>45673</v>
      </c>
      <c r="C318" s="1" t="s">
        <v>25</v>
      </c>
      <c r="D318" s="1" t="s">
        <v>12</v>
      </c>
      <c r="E318" s="1" t="s">
        <v>41</v>
      </c>
      <c r="F318" s="1" t="s">
        <v>19</v>
      </c>
      <c r="G318" s="1" t="s">
        <v>15</v>
      </c>
      <c r="H318">
        <v>119.97</v>
      </c>
      <c r="I318">
        <v>5</v>
      </c>
      <c r="J318">
        <v>599.85</v>
      </c>
      <c r="K318" t="str">
        <f t="shared" si="4"/>
        <v>January</v>
      </c>
    </row>
    <row r="319" spans="1:11" x14ac:dyDescent="0.25">
      <c r="A319" s="1" t="s">
        <v>355</v>
      </c>
      <c r="B319" s="2">
        <v>45692</v>
      </c>
      <c r="C319" s="1" t="s">
        <v>17</v>
      </c>
      <c r="D319" s="1" t="s">
        <v>35</v>
      </c>
      <c r="E319" s="1" t="s">
        <v>13</v>
      </c>
      <c r="F319" s="1" t="s">
        <v>61</v>
      </c>
      <c r="G319" s="1" t="s">
        <v>20</v>
      </c>
      <c r="H319">
        <v>68.12</v>
      </c>
      <c r="I319">
        <v>8</v>
      </c>
      <c r="J319">
        <v>544.96</v>
      </c>
      <c r="K319" t="str">
        <f t="shared" si="4"/>
        <v>February</v>
      </c>
    </row>
    <row r="320" spans="1:11" x14ac:dyDescent="0.25">
      <c r="A320" s="1" t="s">
        <v>356</v>
      </c>
      <c r="B320" s="2">
        <v>45674</v>
      </c>
      <c r="C320" s="1" t="s">
        <v>30</v>
      </c>
      <c r="D320" s="1" t="s">
        <v>12</v>
      </c>
      <c r="E320" s="1" t="s">
        <v>41</v>
      </c>
      <c r="F320" s="1" t="s">
        <v>32</v>
      </c>
      <c r="G320" s="1" t="s">
        <v>36</v>
      </c>
      <c r="H320">
        <v>64.42</v>
      </c>
      <c r="I320">
        <v>20</v>
      </c>
      <c r="J320">
        <v>1288.4000000000001</v>
      </c>
      <c r="K320" t="str">
        <f t="shared" si="4"/>
        <v>January</v>
      </c>
    </row>
    <row r="321" spans="1:11" x14ac:dyDescent="0.25">
      <c r="A321" s="1" t="s">
        <v>357</v>
      </c>
      <c r="B321" s="2">
        <v>45885</v>
      </c>
      <c r="C321" s="1" t="s">
        <v>25</v>
      </c>
      <c r="D321" s="1" t="s">
        <v>26</v>
      </c>
      <c r="E321" s="1" t="s">
        <v>18</v>
      </c>
      <c r="F321" s="1" t="s">
        <v>32</v>
      </c>
      <c r="G321" s="1" t="s">
        <v>36</v>
      </c>
      <c r="H321">
        <v>85.05</v>
      </c>
      <c r="I321">
        <v>3</v>
      </c>
      <c r="J321">
        <v>255.15</v>
      </c>
      <c r="K321" t="str">
        <f t="shared" si="4"/>
        <v>August</v>
      </c>
    </row>
    <row r="322" spans="1:11" x14ac:dyDescent="0.25">
      <c r="A322" s="1" t="s">
        <v>358</v>
      </c>
      <c r="B322" s="2">
        <v>45818</v>
      </c>
      <c r="C322" s="1" t="s">
        <v>30</v>
      </c>
      <c r="D322" s="1" t="s">
        <v>22</v>
      </c>
      <c r="E322" s="1" t="s">
        <v>45</v>
      </c>
      <c r="F322" s="1" t="s">
        <v>28</v>
      </c>
      <c r="G322" s="1" t="s">
        <v>15</v>
      </c>
      <c r="H322">
        <v>150.83000000000001</v>
      </c>
      <c r="I322">
        <v>9</v>
      </c>
      <c r="J322">
        <v>1357.47</v>
      </c>
      <c r="K322" t="str">
        <f t="shared" ref="K322:K385" si="5">TEXT(B:B,"MMMM")</f>
        <v>June</v>
      </c>
    </row>
    <row r="323" spans="1:11" x14ac:dyDescent="0.25">
      <c r="A323" s="1" t="s">
        <v>359</v>
      </c>
      <c r="B323" s="2">
        <v>45913</v>
      </c>
      <c r="C323" s="1" t="s">
        <v>38</v>
      </c>
      <c r="D323" s="1" t="s">
        <v>55</v>
      </c>
      <c r="E323" s="1" t="s">
        <v>45</v>
      </c>
      <c r="F323" s="1" t="s">
        <v>32</v>
      </c>
      <c r="G323" s="1" t="s">
        <v>36</v>
      </c>
      <c r="H323">
        <v>187.21</v>
      </c>
      <c r="I323">
        <v>17</v>
      </c>
      <c r="J323">
        <v>3182.57</v>
      </c>
      <c r="K323" t="str">
        <f t="shared" si="5"/>
        <v>September</v>
      </c>
    </row>
    <row r="324" spans="1:11" x14ac:dyDescent="0.25">
      <c r="A324" s="1" t="s">
        <v>360</v>
      </c>
      <c r="B324" s="2">
        <v>46018</v>
      </c>
      <c r="C324" s="1" t="s">
        <v>30</v>
      </c>
      <c r="D324" s="1" t="s">
        <v>55</v>
      </c>
      <c r="E324" s="1" t="s">
        <v>13</v>
      </c>
      <c r="F324" s="1" t="s">
        <v>28</v>
      </c>
      <c r="G324" s="1" t="s">
        <v>36</v>
      </c>
      <c r="H324">
        <v>175.24</v>
      </c>
      <c r="I324">
        <v>15</v>
      </c>
      <c r="J324">
        <v>2628.6</v>
      </c>
      <c r="K324" t="str">
        <f t="shared" si="5"/>
        <v>December</v>
      </c>
    </row>
    <row r="325" spans="1:11" x14ac:dyDescent="0.25">
      <c r="A325" s="1" t="s">
        <v>361</v>
      </c>
      <c r="B325" s="2">
        <v>45760</v>
      </c>
      <c r="C325" s="1" t="s">
        <v>30</v>
      </c>
      <c r="D325" s="1" t="s">
        <v>22</v>
      </c>
      <c r="E325" s="1" t="s">
        <v>41</v>
      </c>
      <c r="F325" s="1" t="s">
        <v>14</v>
      </c>
      <c r="G325" s="1" t="s">
        <v>20</v>
      </c>
      <c r="H325">
        <v>91.59</v>
      </c>
      <c r="I325">
        <v>4</v>
      </c>
      <c r="J325">
        <v>366.36</v>
      </c>
      <c r="K325" t="str">
        <f t="shared" si="5"/>
        <v>April</v>
      </c>
    </row>
    <row r="326" spans="1:11" x14ac:dyDescent="0.25">
      <c r="A326" s="1" t="s">
        <v>362</v>
      </c>
      <c r="B326" s="2">
        <v>45885</v>
      </c>
      <c r="C326" s="1" t="s">
        <v>17</v>
      </c>
      <c r="D326" s="1" t="s">
        <v>35</v>
      </c>
      <c r="E326" s="1" t="s">
        <v>27</v>
      </c>
      <c r="F326" s="1" t="s">
        <v>32</v>
      </c>
      <c r="G326" s="1" t="s">
        <v>20</v>
      </c>
      <c r="H326">
        <v>240.07</v>
      </c>
      <c r="I326">
        <v>3</v>
      </c>
      <c r="J326">
        <v>720.21</v>
      </c>
      <c r="K326" t="str">
        <f t="shared" si="5"/>
        <v>August</v>
      </c>
    </row>
    <row r="327" spans="1:11" x14ac:dyDescent="0.25">
      <c r="A327" s="1" t="s">
        <v>363</v>
      </c>
      <c r="B327" s="2">
        <v>45691</v>
      </c>
      <c r="C327" s="1" t="s">
        <v>25</v>
      </c>
      <c r="D327" s="1" t="s">
        <v>35</v>
      </c>
      <c r="E327" s="1" t="s">
        <v>13</v>
      </c>
      <c r="F327" s="1" t="s">
        <v>39</v>
      </c>
      <c r="G327" s="1" t="s">
        <v>15</v>
      </c>
      <c r="H327">
        <v>192.34</v>
      </c>
      <c r="I327">
        <v>18</v>
      </c>
      <c r="J327">
        <v>3462.12</v>
      </c>
      <c r="K327" t="str">
        <f t="shared" si="5"/>
        <v>February</v>
      </c>
    </row>
    <row r="328" spans="1:11" x14ac:dyDescent="0.25">
      <c r="A328" s="1" t="s">
        <v>364</v>
      </c>
      <c r="B328" s="2">
        <v>46022</v>
      </c>
      <c r="C328" s="1" t="s">
        <v>34</v>
      </c>
      <c r="D328" s="1" t="s">
        <v>55</v>
      </c>
      <c r="E328" s="1" t="s">
        <v>23</v>
      </c>
      <c r="F328" s="1" t="s">
        <v>19</v>
      </c>
      <c r="G328" s="1" t="s">
        <v>15</v>
      </c>
      <c r="H328">
        <v>151.96</v>
      </c>
      <c r="I328">
        <v>6</v>
      </c>
      <c r="J328">
        <v>911.76</v>
      </c>
      <c r="K328" t="str">
        <f t="shared" si="5"/>
        <v>December</v>
      </c>
    </row>
    <row r="329" spans="1:11" x14ac:dyDescent="0.25">
      <c r="A329" s="1" t="s">
        <v>365</v>
      </c>
      <c r="B329" s="2">
        <v>45729</v>
      </c>
      <c r="C329" s="1" t="s">
        <v>38</v>
      </c>
      <c r="D329" s="1" t="s">
        <v>22</v>
      </c>
      <c r="E329" s="1" t="s">
        <v>13</v>
      </c>
      <c r="F329" s="1" t="s">
        <v>42</v>
      </c>
      <c r="G329" s="1" t="s">
        <v>20</v>
      </c>
      <c r="H329">
        <v>164.58</v>
      </c>
      <c r="I329">
        <v>8</v>
      </c>
      <c r="J329">
        <v>1316.64</v>
      </c>
      <c r="K329" t="str">
        <f t="shared" si="5"/>
        <v>March</v>
      </c>
    </row>
    <row r="330" spans="1:11" x14ac:dyDescent="0.25">
      <c r="A330" s="1" t="s">
        <v>366</v>
      </c>
      <c r="B330" s="2">
        <v>45846</v>
      </c>
      <c r="C330" s="1" t="s">
        <v>25</v>
      </c>
      <c r="D330" s="1" t="s">
        <v>26</v>
      </c>
      <c r="E330" s="1" t="s">
        <v>18</v>
      </c>
      <c r="F330" s="1" t="s">
        <v>19</v>
      </c>
      <c r="G330" s="1" t="s">
        <v>15</v>
      </c>
      <c r="H330">
        <v>122.31</v>
      </c>
      <c r="I330">
        <v>15</v>
      </c>
      <c r="J330">
        <v>1834.65</v>
      </c>
      <c r="K330" t="str">
        <f t="shared" si="5"/>
        <v>July</v>
      </c>
    </row>
    <row r="331" spans="1:11" x14ac:dyDescent="0.25">
      <c r="A331" s="1" t="s">
        <v>367</v>
      </c>
      <c r="B331" s="2">
        <v>45816</v>
      </c>
      <c r="C331" s="1" t="s">
        <v>17</v>
      </c>
      <c r="D331" s="1" t="s">
        <v>12</v>
      </c>
      <c r="E331" s="1" t="s">
        <v>41</v>
      </c>
      <c r="F331" s="1" t="s">
        <v>42</v>
      </c>
      <c r="G331" s="1" t="s">
        <v>36</v>
      </c>
      <c r="H331">
        <v>84.5</v>
      </c>
      <c r="I331">
        <v>13</v>
      </c>
      <c r="J331">
        <v>1098.5</v>
      </c>
      <c r="K331" t="str">
        <f t="shared" si="5"/>
        <v>June</v>
      </c>
    </row>
    <row r="332" spans="1:11" x14ac:dyDescent="0.25">
      <c r="A332" s="1" t="s">
        <v>368</v>
      </c>
      <c r="B332" s="2">
        <v>45867</v>
      </c>
      <c r="C332" s="1" t="s">
        <v>11</v>
      </c>
      <c r="D332" s="1" t="s">
        <v>26</v>
      </c>
      <c r="E332" s="1" t="s">
        <v>13</v>
      </c>
      <c r="F332" s="1" t="s">
        <v>28</v>
      </c>
      <c r="G332" s="1" t="s">
        <v>15</v>
      </c>
      <c r="H332">
        <v>108.31</v>
      </c>
      <c r="I332">
        <v>19</v>
      </c>
      <c r="J332">
        <v>2057.89</v>
      </c>
      <c r="K332" t="str">
        <f t="shared" si="5"/>
        <v>July</v>
      </c>
    </row>
    <row r="333" spans="1:11" x14ac:dyDescent="0.25">
      <c r="A333" s="1" t="s">
        <v>369</v>
      </c>
      <c r="B333" s="2">
        <v>45888</v>
      </c>
      <c r="C333" s="1" t="s">
        <v>17</v>
      </c>
      <c r="D333" s="1" t="s">
        <v>55</v>
      </c>
      <c r="E333" s="1" t="s">
        <v>13</v>
      </c>
      <c r="F333" s="1" t="s">
        <v>14</v>
      </c>
      <c r="G333" s="1" t="s">
        <v>20</v>
      </c>
      <c r="H333">
        <v>196.73</v>
      </c>
      <c r="I333">
        <v>15</v>
      </c>
      <c r="J333">
        <v>2950.95</v>
      </c>
      <c r="K333" t="str">
        <f t="shared" si="5"/>
        <v>August</v>
      </c>
    </row>
    <row r="334" spans="1:11" x14ac:dyDescent="0.25">
      <c r="A334" s="1" t="s">
        <v>370</v>
      </c>
      <c r="B334" s="2">
        <v>45985</v>
      </c>
      <c r="C334" s="1" t="s">
        <v>30</v>
      </c>
      <c r="D334" s="1" t="s">
        <v>26</v>
      </c>
      <c r="E334" s="1" t="s">
        <v>41</v>
      </c>
      <c r="F334" s="1" t="s">
        <v>42</v>
      </c>
      <c r="G334" s="1" t="s">
        <v>15</v>
      </c>
      <c r="H334">
        <v>33.17</v>
      </c>
      <c r="I334">
        <v>19</v>
      </c>
      <c r="J334">
        <v>630.23</v>
      </c>
      <c r="K334" t="str">
        <f t="shared" si="5"/>
        <v>November</v>
      </c>
    </row>
    <row r="335" spans="1:11" x14ac:dyDescent="0.25">
      <c r="A335" s="1" t="s">
        <v>371</v>
      </c>
      <c r="B335" s="2">
        <v>45721</v>
      </c>
      <c r="C335" s="1" t="s">
        <v>30</v>
      </c>
      <c r="D335" s="1" t="s">
        <v>35</v>
      </c>
      <c r="E335" s="1" t="s">
        <v>23</v>
      </c>
      <c r="F335" s="1" t="s">
        <v>14</v>
      </c>
      <c r="G335" s="1" t="s">
        <v>36</v>
      </c>
      <c r="H335">
        <v>55.54</v>
      </c>
      <c r="I335">
        <v>17</v>
      </c>
      <c r="J335">
        <v>944.18</v>
      </c>
      <c r="K335" t="str">
        <f t="shared" si="5"/>
        <v>March</v>
      </c>
    </row>
    <row r="336" spans="1:11" x14ac:dyDescent="0.25">
      <c r="A336" s="1" t="s">
        <v>372</v>
      </c>
      <c r="B336" s="2">
        <v>46021</v>
      </c>
      <c r="C336" s="1" t="s">
        <v>34</v>
      </c>
      <c r="D336" s="1" t="s">
        <v>55</v>
      </c>
      <c r="E336" s="1" t="s">
        <v>13</v>
      </c>
      <c r="F336" s="1" t="s">
        <v>39</v>
      </c>
      <c r="G336" s="1" t="s">
        <v>15</v>
      </c>
      <c r="H336">
        <v>40.119999999999997</v>
      </c>
      <c r="I336">
        <v>8</v>
      </c>
      <c r="J336">
        <v>320.95999999999998</v>
      </c>
      <c r="K336" t="str">
        <f t="shared" si="5"/>
        <v>December</v>
      </c>
    </row>
    <row r="337" spans="1:11" x14ac:dyDescent="0.25">
      <c r="A337" s="1" t="s">
        <v>373</v>
      </c>
      <c r="B337" s="2">
        <v>45786</v>
      </c>
      <c r="C337" s="1" t="s">
        <v>17</v>
      </c>
      <c r="D337" s="1" t="s">
        <v>55</v>
      </c>
      <c r="E337" s="1" t="s">
        <v>13</v>
      </c>
      <c r="F337" s="1" t="s">
        <v>14</v>
      </c>
      <c r="G337" s="1" t="s">
        <v>20</v>
      </c>
      <c r="H337">
        <v>38.96</v>
      </c>
      <c r="I337">
        <v>7</v>
      </c>
      <c r="J337">
        <v>272.72000000000003</v>
      </c>
      <c r="K337" t="str">
        <f t="shared" si="5"/>
        <v>May</v>
      </c>
    </row>
    <row r="338" spans="1:11" x14ac:dyDescent="0.25">
      <c r="A338" s="1" t="s">
        <v>374</v>
      </c>
      <c r="B338" s="2">
        <v>45813</v>
      </c>
      <c r="C338" s="1" t="s">
        <v>25</v>
      </c>
      <c r="D338" s="1" t="s">
        <v>22</v>
      </c>
      <c r="E338" s="1" t="s">
        <v>18</v>
      </c>
      <c r="F338" s="1" t="s">
        <v>28</v>
      </c>
      <c r="G338" s="1" t="s">
        <v>15</v>
      </c>
      <c r="H338">
        <v>218.2</v>
      </c>
      <c r="I338">
        <v>20</v>
      </c>
      <c r="J338">
        <v>4364</v>
      </c>
      <c r="K338" t="str">
        <f t="shared" si="5"/>
        <v>June</v>
      </c>
    </row>
    <row r="339" spans="1:11" x14ac:dyDescent="0.25">
      <c r="A339" s="1" t="s">
        <v>375</v>
      </c>
      <c r="B339" s="2">
        <v>45961</v>
      </c>
      <c r="C339" s="1" t="s">
        <v>30</v>
      </c>
      <c r="D339" s="1" t="s">
        <v>26</v>
      </c>
      <c r="E339" s="1" t="s">
        <v>27</v>
      </c>
      <c r="F339" s="1" t="s">
        <v>42</v>
      </c>
      <c r="G339" s="1" t="s">
        <v>20</v>
      </c>
      <c r="H339">
        <v>184.8</v>
      </c>
      <c r="I339">
        <v>19</v>
      </c>
      <c r="J339">
        <v>3511.2</v>
      </c>
      <c r="K339" t="str">
        <f t="shared" si="5"/>
        <v>October</v>
      </c>
    </row>
    <row r="340" spans="1:11" x14ac:dyDescent="0.25">
      <c r="A340" s="1" t="s">
        <v>376</v>
      </c>
      <c r="B340" s="2">
        <v>45967</v>
      </c>
      <c r="C340" s="1" t="s">
        <v>25</v>
      </c>
      <c r="D340" s="1" t="s">
        <v>22</v>
      </c>
      <c r="E340" s="1" t="s">
        <v>45</v>
      </c>
      <c r="F340" s="1" t="s">
        <v>19</v>
      </c>
      <c r="G340" s="1" t="s">
        <v>15</v>
      </c>
      <c r="H340">
        <v>134.32</v>
      </c>
      <c r="I340">
        <v>11</v>
      </c>
      <c r="J340">
        <v>1477.52</v>
      </c>
      <c r="K340" t="str">
        <f t="shared" si="5"/>
        <v>November</v>
      </c>
    </row>
    <row r="341" spans="1:11" x14ac:dyDescent="0.25">
      <c r="A341" s="1" t="s">
        <v>377</v>
      </c>
      <c r="B341" s="2">
        <v>45986</v>
      </c>
      <c r="C341" s="1" t="s">
        <v>34</v>
      </c>
      <c r="D341" s="1" t="s">
        <v>12</v>
      </c>
      <c r="E341" s="1" t="s">
        <v>23</v>
      </c>
      <c r="F341" s="1" t="s">
        <v>39</v>
      </c>
      <c r="G341" s="1" t="s">
        <v>20</v>
      </c>
      <c r="H341">
        <v>51.52</v>
      </c>
      <c r="I341">
        <v>19</v>
      </c>
      <c r="J341">
        <v>978.88</v>
      </c>
      <c r="K341" t="str">
        <f t="shared" si="5"/>
        <v>November</v>
      </c>
    </row>
    <row r="342" spans="1:11" x14ac:dyDescent="0.25">
      <c r="A342" s="1" t="s">
        <v>378</v>
      </c>
      <c r="B342" s="2">
        <v>45871</v>
      </c>
      <c r="C342" s="1" t="s">
        <v>17</v>
      </c>
      <c r="D342" s="1" t="s">
        <v>22</v>
      </c>
      <c r="E342" s="1" t="s">
        <v>41</v>
      </c>
      <c r="F342" s="1" t="s">
        <v>28</v>
      </c>
      <c r="G342" s="1" t="s">
        <v>20</v>
      </c>
      <c r="H342">
        <v>138.16</v>
      </c>
      <c r="I342">
        <v>20</v>
      </c>
      <c r="J342">
        <v>2763.2</v>
      </c>
      <c r="K342" t="str">
        <f t="shared" si="5"/>
        <v>August</v>
      </c>
    </row>
    <row r="343" spans="1:11" x14ac:dyDescent="0.25">
      <c r="A343" s="1" t="s">
        <v>379</v>
      </c>
      <c r="B343" s="2">
        <v>45806</v>
      </c>
      <c r="C343" s="1" t="s">
        <v>38</v>
      </c>
      <c r="D343" s="1" t="s">
        <v>26</v>
      </c>
      <c r="E343" s="1" t="s">
        <v>27</v>
      </c>
      <c r="F343" s="1" t="s">
        <v>61</v>
      </c>
      <c r="G343" s="1" t="s">
        <v>36</v>
      </c>
      <c r="H343">
        <v>134.16</v>
      </c>
      <c r="I343">
        <v>10</v>
      </c>
      <c r="J343">
        <v>1341.6</v>
      </c>
      <c r="K343" t="str">
        <f t="shared" si="5"/>
        <v>May</v>
      </c>
    </row>
    <row r="344" spans="1:11" x14ac:dyDescent="0.25">
      <c r="A344" s="1" t="s">
        <v>380</v>
      </c>
      <c r="B344" s="2">
        <v>45890</v>
      </c>
      <c r="C344" s="1" t="s">
        <v>17</v>
      </c>
      <c r="D344" s="1" t="s">
        <v>22</v>
      </c>
      <c r="E344" s="1" t="s">
        <v>23</v>
      </c>
      <c r="F344" s="1" t="s">
        <v>61</v>
      </c>
      <c r="G344" s="1" t="s">
        <v>36</v>
      </c>
      <c r="H344">
        <v>68.099999999999994</v>
      </c>
      <c r="I344">
        <v>3</v>
      </c>
      <c r="J344">
        <v>204.3</v>
      </c>
      <c r="K344" t="str">
        <f t="shared" si="5"/>
        <v>August</v>
      </c>
    </row>
    <row r="345" spans="1:11" x14ac:dyDescent="0.25">
      <c r="A345" s="1" t="s">
        <v>381</v>
      </c>
      <c r="B345" s="2">
        <v>45905</v>
      </c>
      <c r="C345" s="1" t="s">
        <v>30</v>
      </c>
      <c r="D345" s="1" t="s">
        <v>35</v>
      </c>
      <c r="E345" s="1" t="s">
        <v>18</v>
      </c>
      <c r="F345" s="1" t="s">
        <v>14</v>
      </c>
      <c r="G345" s="1" t="s">
        <v>36</v>
      </c>
      <c r="H345">
        <v>125.45</v>
      </c>
      <c r="I345">
        <v>15</v>
      </c>
      <c r="J345">
        <v>1881.75</v>
      </c>
      <c r="K345" t="str">
        <f t="shared" si="5"/>
        <v>September</v>
      </c>
    </row>
    <row r="346" spans="1:11" x14ac:dyDescent="0.25">
      <c r="A346" s="1" t="s">
        <v>382</v>
      </c>
      <c r="B346" s="2">
        <v>45821</v>
      </c>
      <c r="C346" s="1" t="s">
        <v>38</v>
      </c>
      <c r="D346" s="1" t="s">
        <v>26</v>
      </c>
      <c r="E346" s="1" t="s">
        <v>13</v>
      </c>
      <c r="F346" s="1" t="s">
        <v>42</v>
      </c>
      <c r="G346" s="1" t="s">
        <v>20</v>
      </c>
      <c r="H346">
        <v>117.67</v>
      </c>
      <c r="I346">
        <v>12</v>
      </c>
      <c r="J346">
        <v>1412.04</v>
      </c>
      <c r="K346" t="str">
        <f t="shared" si="5"/>
        <v>June</v>
      </c>
    </row>
    <row r="347" spans="1:11" x14ac:dyDescent="0.25">
      <c r="A347" s="1" t="s">
        <v>383</v>
      </c>
      <c r="B347" s="2">
        <v>45712</v>
      </c>
      <c r="C347" s="1" t="s">
        <v>30</v>
      </c>
      <c r="D347" s="1" t="s">
        <v>31</v>
      </c>
      <c r="E347" s="1" t="s">
        <v>45</v>
      </c>
      <c r="F347" s="1" t="s">
        <v>32</v>
      </c>
      <c r="G347" s="1" t="s">
        <v>36</v>
      </c>
      <c r="H347">
        <v>165.49</v>
      </c>
      <c r="I347">
        <v>11</v>
      </c>
      <c r="J347">
        <v>1820.39</v>
      </c>
      <c r="K347" t="str">
        <f t="shared" si="5"/>
        <v>February</v>
      </c>
    </row>
    <row r="348" spans="1:11" x14ac:dyDescent="0.25">
      <c r="A348" s="1" t="s">
        <v>384</v>
      </c>
      <c r="B348" s="2">
        <v>45784</v>
      </c>
      <c r="C348" s="1" t="s">
        <v>11</v>
      </c>
      <c r="D348" s="1" t="s">
        <v>22</v>
      </c>
      <c r="E348" s="1" t="s">
        <v>13</v>
      </c>
      <c r="F348" s="1" t="s">
        <v>61</v>
      </c>
      <c r="G348" s="1" t="s">
        <v>20</v>
      </c>
      <c r="H348">
        <v>169.72</v>
      </c>
      <c r="I348">
        <v>5</v>
      </c>
      <c r="J348">
        <v>848.6</v>
      </c>
      <c r="K348" t="str">
        <f t="shared" si="5"/>
        <v>May</v>
      </c>
    </row>
    <row r="349" spans="1:11" x14ac:dyDescent="0.25">
      <c r="A349" s="1" t="s">
        <v>385</v>
      </c>
      <c r="B349" s="2">
        <v>45872</v>
      </c>
      <c r="C349" s="1" t="s">
        <v>30</v>
      </c>
      <c r="D349" s="1" t="s">
        <v>35</v>
      </c>
      <c r="E349" s="1" t="s">
        <v>18</v>
      </c>
      <c r="F349" s="1" t="s">
        <v>28</v>
      </c>
      <c r="G349" s="1" t="s">
        <v>36</v>
      </c>
      <c r="H349">
        <v>39.97</v>
      </c>
      <c r="I349">
        <v>8</v>
      </c>
      <c r="J349">
        <v>319.76</v>
      </c>
      <c r="K349" t="str">
        <f t="shared" si="5"/>
        <v>August</v>
      </c>
    </row>
    <row r="350" spans="1:11" x14ac:dyDescent="0.25">
      <c r="A350" s="1" t="s">
        <v>386</v>
      </c>
      <c r="B350" s="2">
        <v>45755</v>
      </c>
      <c r="C350" s="1" t="s">
        <v>38</v>
      </c>
      <c r="D350" s="1" t="s">
        <v>55</v>
      </c>
      <c r="E350" s="1" t="s">
        <v>41</v>
      </c>
      <c r="F350" s="1" t="s">
        <v>61</v>
      </c>
      <c r="G350" s="1" t="s">
        <v>36</v>
      </c>
      <c r="H350">
        <v>112.41</v>
      </c>
      <c r="I350">
        <v>6</v>
      </c>
      <c r="J350">
        <v>674.46</v>
      </c>
      <c r="K350" t="str">
        <f t="shared" si="5"/>
        <v>April</v>
      </c>
    </row>
    <row r="351" spans="1:11" x14ac:dyDescent="0.25">
      <c r="A351" s="1" t="s">
        <v>387</v>
      </c>
      <c r="B351" s="2">
        <v>45912</v>
      </c>
      <c r="C351" s="1" t="s">
        <v>11</v>
      </c>
      <c r="D351" s="1" t="s">
        <v>31</v>
      </c>
      <c r="E351" s="1" t="s">
        <v>18</v>
      </c>
      <c r="F351" s="1" t="s">
        <v>61</v>
      </c>
      <c r="G351" s="1" t="s">
        <v>15</v>
      </c>
      <c r="H351">
        <v>167.69</v>
      </c>
      <c r="I351">
        <v>1</v>
      </c>
      <c r="J351">
        <v>167.69</v>
      </c>
      <c r="K351" t="str">
        <f t="shared" si="5"/>
        <v>September</v>
      </c>
    </row>
    <row r="352" spans="1:11" x14ac:dyDescent="0.25">
      <c r="A352" s="1" t="s">
        <v>388</v>
      </c>
      <c r="B352" s="2">
        <v>45768</v>
      </c>
      <c r="C352" s="1" t="s">
        <v>34</v>
      </c>
      <c r="D352" s="1" t="s">
        <v>22</v>
      </c>
      <c r="E352" s="1" t="s">
        <v>45</v>
      </c>
      <c r="F352" s="1" t="s">
        <v>32</v>
      </c>
      <c r="G352" s="1" t="s">
        <v>36</v>
      </c>
      <c r="H352">
        <v>140.69</v>
      </c>
      <c r="I352">
        <v>19</v>
      </c>
      <c r="J352">
        <v>2673.11</v>
      </c>
      <c r="K352" t="str">
        <f t="shared" si="5"/>
        <v>April</v>
      </c>
    </row>
    <row r="353" spans="1:11" x14ac:dyDescent="0.25">
      <c r="A353" s="1" t="s">
        <v>389</v>
      </c>
      <c r="B353" s="2">
        <v>45963</v>
      </c>
      <c r="C353" s="1" t="s">
        <v>34</v>
      </c>
      <c r="D353" s="1" t="s">
        <v>55</v>
      </c>
      <c r="E353" s="1" t="s">
        <v>45</v>
      </c>
      <c r="F353" s="1" t="s">
        <v>39</v>
      </c>
      <c r="G353" s="1" t="s">
        <v>15</v>
      </c>
      <c r="H353">
        <v>218.43</v>
      </c>
      <c r="I353">
        <v>16</v>
      </c>
      <c r="J353">
        <v>3494.88</v>
      </c>
      <c r="K353" t="str">
        <f t="shared" si="5"/>
        <v>November</v>
      </c>
    </row>
    <row r="354" spans="1:11" x14ac:dyDescent="0.25">
      <c r="A354" s="1" t="s">
        <v>390</v>
      </c>
      <c r="B354" s="2">
        <v>45878</v>
      </c>
      <c r="C354" s="1" t="s">
        <v>34</v>
      </c>
      <c r="D354" s="1" t="s">
        <v>12</v>
      </c>
      <c r="E354" s="1" t="s">
        <v>13</v>
      </c>
      <c r="F354" s="1" t="s">
        <v>39</v>
      </c>
      <c r="G354" s="1" t="s">
        <v>36</v>
      </c>
      <c r="H354">
        <v>174.91</v>
      </c>
      <c r="I354">
        <v>5</v>
      </c>
      <c r="J354">
        <v>874.55</v>
      </c>
      <c r="K354" t="str">
        <f t="shared" si="5"/>
        <v>August</v>
      </c>
    </row>
    <row r="355" spans="1:11" x14ac:dyDescent="0.25">
      <c r="A355" s="1" t="s">
        <v>391</v>
      </c>
      <c r="B355" s="2">
        <v>45845</v>
      </c>
      <c r="C355" s="1" t="s">
        <v>38</v>
      </c>
      <c r="D355" s="1" t="s">
        <v>22</v>
      </c>
      <c r="E355" s="1" t="s">
        <v>18</v>
      </c>
      <c r="F355" s="1" t="s">
        <v>42</v>
      </c>
      <c r="G355" s="1" t="s">
        <v>15</v>
      </c>
      <c r="H355">
        <v>65.849999999999994</v>
      </c>
      <c r="I355">
        <v>2</v>
      </c>
      <c r="J355">
        <v>131.69999999999999</v>
      </c>
      <c r="K355" t="str">
        <f t="shared" si="5"/>
        <v>July</v>
      </c>
    </row>
    <row r="356" spans="1:11" x14ac:dyDescent="0.25">
      <c r="A356" s="1" t="s">
        <v>392</v>
      </c>
      <c r="B356" s="2">
        <v>45843</v>
      </c>
      <c r="C356" s="1" t="s">
        <v>34</v>
      </c>
      <c r="D356" s="1" t="s">
        <v>22</v>
      </c>
      <c r="E356" s="1" t="s">
        <v>41</v>
      </c>
      <c r="F356" s="1" t="s">
        <v>42</v>
      </c>
      <c r="G356" s="1" t="s">
        <v>36</v>
      </c>
      <c r="H356">
        <v>45.53</v>
      </c>
      <c r="I356">
        <v>18</v>
      </c>
      <c r="J356">
        <v>819.54</v>
      </c>
      <c r="K356" t="str">
        <f t="shared" si="5"/>
        <v>July</v>
      </c>
    </row>
    <row r="357" spans="1:11" x14ac:dyDescent="0.25">
      <c r="A357" s="1" t="s">
        <v>393</v>
      </c>
      <c r="B357" s="2">
        <v>45939</v>
      </c>
      <c r="C357" s="1" t="s">
        <v>25</v>
      </c>
      <c r="D357" s="1" t="s">
        <v>12</v>
      </c>
      <c r="E357" s="1" t="s">
        <v>18</v>
      </c>
      <c r="F357" s="1" t="s">
        <v>19</v>
      </c>
      <c r="G357" s="1" t="s">
        <v>15</v>
      </c>
      <c r="H357">
        <v>171.33</v>
      </c>
      <c r="I357">
        <v>9</v>
      </c>
      <c r="J357">
        <v>1541.97</v>
      </c>
      <c r="K357" t="str">
        <f t="shared" si="5"/>
        <v>October</v>
      </c>
    </row>
    <row r="358" spans="1:11" x14ac:dyDescent="0.25">
      <c r="A358" s="1" t="s">
        <v>394</v>
      </c>
      <c r="B358" s="2">
        <v>45707</v>
      </c>
      <c r="C358" s="1" t="s">
        <v>34</v>
      </c>
      <c r="D358" s="1" t="s">
        <v>35</v>
      </c>
      <c r="E358" s="1" t="s">
        <v>18</v>
      </c>
      <c r="F358" s="1" t="s">
        <v>32</v>
      </c>
      <c r="G358" s="1" t="s">
        <v>15</v>
      </c>
      <c r="H358">
        <v>35.83</v>
      </c>
      <c r="I358">
        <v>13</v>
      </c>
      <c r="J358">
        <v>465.79</v>
      </c>
      <c r="K358" t="str">
        <f t="shared" si="5"/>
        <v>February</v>
      </c>
    </row>
    <row r="359" spans="1:11" x14ac:dyDescent="0.25">
      <c r="A359" s="1" t="s">
        <v>395</v>
      </c>
      <c r="B359" s="2">
        <v>45759</v>
      </c>
      <c r="C359" s="1" t="s">
        <v>25</v>
      </c>
      <c r="D359" s="1" t="s">
        <v>31</v>
      </c>
      <c r="E359" s="1" t="s">
        <v>18</v>
      </c>
      <c r="F359" s="1" t="s">
        <v>19</v>
      </c>
      <c r="G359" s="1" t="s">
        <v>15</v>
      </c>
      <c r="H359">
        <v>158.87</v>
      </c>
      <c r="I359">
        <v>20</v>
      </c>
      <c r="J359">
        <v>3177.4</v>
      </c>
      <c r="K359" t="str">
        <f t="shared" si="5"/>
        <v>April</v>
      </c>
    </row>
    <row r="360" spans="1:11" x14ac:dyDescent="0.25">
      <c r="A360" s="1" t="s">
        <v>396</v>
      </c>
      <c r="B360" s="2">
        <v>45677</v>
      </c>
      <c r="C360" s="1" t="s">
        <v>17</v>
      </c>
      <c r="D360" s="1" t="s">
        <v>35</v>
      </c>
      <c r="E360" s="1" t="s">
        <v>41</v>
      </c>
      <c r="F360" s="1" t="s">
        <v>42</v>
      </c>
      <c r="G360" s="1" t="s">
        <v>36</v>
      </c>
      <c r="H360">
        <v>236.85</v>
      </c>
      <c r="I360">
        <v>5</v>
      </c>
      <c r="J360">
        <v>1184.25</v>
      </c>
      <c r="K360" t="str">
        <f t="shared" si="5"/>
        <v>January</v>
      </c>
    </row>
    <row r="361" spans="1:11" x14ac:dyDescent="0.25">
      <c r="A361" s="1" t="s">
        <v>397</v>
      </c>
      <c r="B361" s="2">
        <v>45734</v>
      </c>
      <c r="C361" s="1" t="s">
        <v>25</v>
      </c>
      <c r="D361" s="1" t="s">
        <v>26</v>
      </c>
      <c r="E361" s="1" t="s">
        <v>13</v>
      </c>
      <c r="F361" s="1" t="s">
        <v>42</v>
      </c>
      <c r="G361" s="1" t="s">
        <v>36</v>
      </c>
      <c r="H361">
        <v>156.6</v>
      </c>
      <c r="I361">
        <v>20</v>
      </c>
      <c r="J361">
        <v>3132</v>
      </c>
      <c r="K361" t="str">
        <f t="shared" si="5"/>
        <v>March</v>
      </c>
    </row>
    <row r="362" spans="1:11" x14ac:dyDescent="0.25">
      <c r="A362" s="1" t="s">
        <v>398</v>
      </c>
      <c r="B362" s="2">
        <v>45741</v>
      </c>
      <c r="C362" s="1" t="s">
        <v>25</v>
      </c>
      <c r="D362" s="1" t="s">
        <v>12</v>
      </c>
      <c r="E362" s="1" t="s">
        <v>13</v>
      </c>
      <c r="F362" s="1" t="s">
        <v>42</v>
      </c>
      <c r="G362" s="1" t="s">
        <v>36</v>
      </c>
      <c r="H362">
        <v>115.4</v>
      </c>
      <c r="I362">
        <v>13</v>
      </c>
      <c r="J362">
        <v>1500.2</v>
      </c>
      <c r="K362" t="str">
        <f t="shared" si="5"/>
        <v>March</v>
      </c>
    </row>
    <row r="363" spans="1:11" x14ac:dyDescent="0.25">
      <c r="A363" s="1" t="s">
        <v>399</v>
      </c>
      <c r="B363" s="2">
        <v>45917</v>
      </c>
      <c r="C363" s="1" t="s">
        <v>25</v>
      </c>
      <c r="D363" s="1" t="s">
        <v>31</v>
      </c>
      <c r="E363" s="1" t="s">
        <v>27</v>
      </c>
      <c r="F363" s="1" t="s">
        <v>42</v>
      </c>
      <c r="G363" s="1" t="s">
        <v>36</v>
      </c>
      <c r="H363">
        <v>171.52</v>
      </c>
      <c r="I363">
        <v>17</v>
      </c>
      <c r="J363">
        <v>2915.84</v>
      </c>
      <c r="K363" t="str">
        <f t="shared" si="5"/>
        <v>September</v>
      </c>
    </row>
    <row r="364" spans="1:11" x14ac:dyDescent="0.25">
      <c r="A364" s="1" t="s">
        <v>400</v>
      </c>
      <c r="B364" s="2">
        <v>45901</v>
      </c>
      <c r="C364" s="1" t="s">
        <v>34</v>
      </c>
      <c r="D364" s="1" t="s">
        <v>35</v>
      </c>
      <c r="E364" s="1" t="s">
        <v>27</v>
      </c>
      <c r="F364" s="1" t="s">
        <v>19</v>
      </c>
      <c r="G364" s="1" t="s">
        <v>36</v>
      </c>
      <c r="H364">
        <v>130.82</v>
      </c>
      <c r="I364">
        <v>1</v>
      </c>
      <c r="J364">
        <v>130.82</v>
      </c>
      <c r="K364" t="str">
        <f t="shared" si="5"/>
        <v>September</v>
      </c>
    </row>
    <row r="365" spans="1:11" x14ac:dyDescent="0.25">
      <c r="A365" s="1" t="s">
        <v>401</v>
      </c>
      <c r="B365" s="2">
        <v>45956</v>
      </c>
      <c r="C365" s="1" t="s">
        <v>17</v>
      </c>
      <c r="D365" s="1" t="s">
        <v>12</v>
      </c>
      <c r="E365" s="1" t="s">
        <v>27</v>
      </c>
      <c r="F365" s="1" t="s">
        <v>19</v>
      </c>
      <c r="G365" s="1" t="s">
        <v>20</v>
      </c>
      <c r="H365">
        <v>150.04</v>
      </c>
      <c r="I365">
        <v>10</v>
      </c>
      <c r="J365">
        <v>1500.4</v>
      </c>
      <c r="K365" t="str">
        <f t="shared" si="5"/>
        <v>October</v>
      </c>
    </row>
    <row r="366" spans="1:11" x14ac:dyDescent="0.25">
      <c r="A366" s="1" t="s">
        <v>402</v>
      </c>
      <c r="B366" s="2">
        <v>45900</v>
      </c>
      <c r="C366" s="1" t="s">
        <v>17</v>
      </c>
      <c r="D366" s="1" t="s">
        <v>55</v>
      </c>
      <c r="E366" s="1" t="s">
        <v>18</v>
      </c>
      <c r="F366" s="1" t="s">
        <v>14</v>
      </c>
      <c r="G366" s="1" t="s">
        <v>20</v>
      </c>
      <c r="H366">
        <v>237.12</v>
      </c>
      <c r="I366">
        <v>9</v>
      </c>
      <c r="J366">
        <v>2134.08</v>
      </c>
      <c r="K366" t="str">
        <f t="shared" si="5"/>
        <v>August</v>
      </c>
    </row>
    <row r="367" spans="1:11" x14ac:dyDescent="0.25">
      <c r="A367" s="1" t="s">
        <v>403</v>
      </c>
      <c r="B367" s="2">
        <v>45684</v>
      </c>
      <c r="C367" s="1" t="s">
        <v>38</v>
      </c>
      <c r="D367" s="1" t="s">
        <v>26</v>
      </c>
      <c r="E367" s="1" t="s">
        <v>18</v>
      </c>
      <c r="F367" s="1" t="s">
        <v>28</v>
      </c>
      <c r="G367" s="1" t="s">
        <v>20</v>
      </c>
      <c r="H367">
        <v>114.94</v>
      </c>
      <c r="I367">
        <v>19</v>
      </c>
      <c r="J367">
        <v>2183.86</v>
      </c>
      <c r="K367" t="str">
        <f t="shared" si="5"/>
        <v>January</v>
      </c>
    </row>
    <row r="368" spans="1:11" x14ac:dyDescent="0.25">
      <c r="A368" s="1" t="s">
        <v>404</v>
      </c>
      <c r="B368" s="2">
        <v>45975</v>
      </c>
      <c r="C368" s="1" t="s">
        <v>30</v>
      </c>
      <c r="D368" s="1" t="s">
        <v>12</v>
      </c>
      <c r="E368" s="1" t="s">
        <v>23</v>
      </c>
      <c r="F368" s="1" t="s">
        <v>19</v>
      </c>
      <c r="G368" s="1" t="s">
        <v>20</v>
      </c>
      <c r="H368">
        <v>241.46</v>
      </c>
      <c r="I368">
        <v>13</v>
      </c>
      <c r="J368">
        <v>3138.98</v>
      </c>
      <c r="K368" t="str">
        <f t="shared" si="5"/>
        <v>November</v>
      </c>
    </row>
    <row r="369" spans="1:11" x14ac:dyDescent="0.25">
      <c r="A369" s="1" t="s">
        <v>405</v>
      </c>
      <c r="B369" s="2">
        <v>46016</v>
      </c>
      <c r="C369" s="1" t="s">
        <v>30</v>
      </c>
      <c r="D369" s="1" t="s">
        <v>22</v>
      </c>
      <c r="E369" s="1" t="s">
        <v>41</v>
      </c>
      <c r="F369" s="1" t="s">
        <v>32</v>
      </c>
      <c r="G369" s="1" t="s">
        <v>36</v>
      </c>
      <c r="H369">
        <v>229.18</v>
      </c>
      <c r="I369">
        <v>4</v>
      </c>
      <c r="J369">
        <v>916.72</v>
      </c>
      <c r="K369" t="str">
        <f t="shared" si="5"/>
        <v>December</v>
      </c>
    </row>
    <row r="370" spans="1:11" x14ac:dyDescent="0.25">
      <c r="A370" s="1" t="s">
        <v>406</v>
      </c>
      <c r="B370" s="2">
        <v>45735</v>
      </c>
      <c r="C370" s="1" t="s">
        <v>17</v>
      </c>
      <c r="D370" s="1" t="s">
        <v>26</v>
      </c>
      <c r="E370" s="1" t="s">
        <v>41</v>
      </c>
      <c r="F370" s="1" t="s">
        <v>42</v>
      </c>
      <c r="G370" s="1" t="s">
        <v>20</v>
      </c>
      <c r="H370">
        <v>73.069999999999993</v>
      </c>
      <c r="I370">
        <v>14</v>
      </c>
      <c r="J370">
        <v>1022.98</v>
      </c>
      <c r="K370" t="str">
        <f t="shared" si="5"/>
        <v>March</v>
      </c>
    </row>
    <row r="371" spans="1:11" x14ac:dyDescent="0.25">
      <c r="A371" s="1" t="s">
        <v>407</v>
      </c>
      <c r="B371" s="2">
        <v>45899</v>
      </c>
      <c r="C371" s="1" t="s">
        <v>17</v>
      </c>
      <c r="D371" s="1" t="s">
        <v>26</v>
      </c>
      <c r="E371" s="1" t="s">
        <v>18</v>
      </c>
      <c r="F371" s="1" t="s">
        <v>14</v>
      </c>
      <c r="G371" s="1" t="s">
        <v>20</v>
      </c>
      <c r="H371">
        <v>45.26</v>
      </c>
      <c r="I371">
        <v>2</v>
      </c>
      <c r="J371">
        <v>90.52</v>
      </c>
      <c r="K371" t="str">
        <f t="shared" si="5"/>
        <v>August</v>
      </c>
    </row>
    <row r="372" spans="1:11" x14ac:dyDescent="0.25">
      <c r="A372" s="1" t="s">
        <v>408</v>
      </c>
      <c r="B372" s="2">
        <v>45824</v>
      </c>
      <c r="C372" s="1" t="s">
        <v>25</v>
      </c>
      <c r="D372" s="1" t="s">
        <v>31</v>
      </c>
      <c r="E372" s="1" t="s">
        <v>13</v>
      </c>
      <c r="F372" s="1" t="s">
        <v>14</v>
      </c>
      <c r="G372" s="1" t="s">
        <v>36</v>
      </c>
      <c r="H372">
        <v>52.17</v>
      </c>
      <c r="I372">
        <v>16</v>
      </c>
      <c r="J372">
        <v>834.72</v>
      </c>
      <c r="K372" t="str">
        <f t="shared" si="5"/>
        <v>June</v>
      </c>
    </row>
    <row r="373" spans="1:11" x14ac:dyDescent="0.25">
      <c r="A373" s="1" t="s">
        <v>409</v>
      </c>
      <c r="B373" s="2">
        <v>45930</v>
      </c>
      <c r="C373" s="1" t="s">
        <v>25</v>
      </c>
      <c r="D373" s="1" t="s">
        <v>35</v>
      </c>
      <c r="E373" s="1" t="s">
        <v>27</v>
      </c>
      <c r="F373" s="1" t="s">
        <v>39</v>
      </c>
      <c r="G373" s="1" t="s">
        <v>20</v>
      </c>
      <c r="H373">
        <v>34.01</v>
      </c>
      <c r="I373">
        <v>11</v>
      </c>
      <c r="J373">
        <v>374.11</v>
      </c>
      <c r="K373" t="str">
        <f t="shared" si="5"/>
        <v>September</v>
      </c>
    </row>
    <row r="374" spans="1:11" x14ac:dyDescent="0.25">
      <c r="A374" s="1" t="s">
        <v>410</v>
      </c>
      <c r="B374" s="2">
        <v>46006</v>
      </c>
      <c r="C374" s="1" t="s">
        <v>25</v>
      </c>
      <c r="D374" s="1" t="s">
        <v>31</v>
      </c>
      <c r="E374" s="1" t="s">
        <v>23</v>
      </c>
      <c r="F374" s="1" t="s">
        <v>14</v>
      </c>
      <c r="G374" s="1" t="s">
        <v>36</v>
      </c>
      <c r="H374">
        <v>50.78</v>
      </c>
      <c r="I374">
        <v>9</v>
      </c>
      <c r="J374">
        <v>457.02</v>
      </c>
      <c r="K374" t="str">
        <f t="shared" si="5"/>
        <v>December</v>
      </c>
    </row>
    <row r="375" spans="1:11" x14ac:dyDescent="0.25">
      <c r="A375" s="1" t="s">
        <v>411</v>
      </c>
      <c r="B375" s="2">
        <v>45943</v>
      </c>
      <c r="C375" s="1" t="s">
        <v>30</v>
      </c>
      <c r="D375" s="1" t="s">
        <v>35</v>
      </c>
      <c r="E375" s="1" t="s">
        <v>13</v>
      </c>
      <c r="F375" s="1" t="s">
        <v>28</v>
      </c>
      <c r="G375" s="1" t="s">
        <v>15</v>
      </c>
      <c r="H375">
        <v>180.26</v>
      </c>
      <c r="I375">
        <v>10</v>
      </c>
      <c r="J375">
        <v>1802.6</v>
      </c>
      <c r="K375" t="str">
        <f t="shared" si="5"/>
        <v>October</v>
      </c>
    </row>
    <row r="376" spans="1:11" x14ac:dyDescent="0.25">
      <c r="A376" s="1" t="s">
        <v>412</v>
      </c>
      <c r="B376" s="2">
        <v>46011</v>
      </c>
      <c r="C376" s="1" t="s">
        <v>34</v>
      </c>
      <c r="D376" s="1" t="s">
        <v>31</v>
      </c>
      <c r="E376" s="1" t="s">
        <v>13</v>
      </c>
      <c r="F376" s="1" t="s">
        <v>42</v>
      </c>
      <c r="G376" s="1" t="s">
        <v>20</v>
      </c>
      <c r="H376">
        <v>45.66</v>
      </c>
      <c r="I376">
        <v>16</v>
      </c>
      <c r="J376">
        <v>730.56</v>
      </c>
      <c r="K376" t="str">
        <f t="shared" si="5"/>
        <v>December</v>
      </c>
    </row>
    <row r="377" spans="1:11" x14ac:dyDescent="0.25">
      <c r="A377" s="1" t="s">
        <v>413</v>
      </c>
      <c r="B377" s="2">
        <v>45798</v>
      </c>
      <c r="C377" s="1" t="s">
        <v>11</v>
      </c>
      <c r="D377" s="1" t="s">
        <v>55</v>
      </c>
      <c r="E377" s="1" t="s">
        <v>27</v>
      </c>
      <c r="F377" s="1" t="s">
        <v>42</v>
      </c>
      <c r="G377" s="1" t="s">
        <v>36</v>
      </c>
      <c r="H377">
        <v>100.17</v>
      </c>
      <c r="I377">
        <v>10</v>
      </c>
      <c r="J377">
        <v>1001.7</v>
      </c>
      <c r="K377" t="str">
        <f t="shared" si="5"/>
        <v>May</v>
      </c>
    </row>
    <row r="378" spans="1:11" x14ac:dyDescent="0.25">
      <c r="A378" s="1" t="s">
        <v>414</v>
      </c>
      <c r="B378" s="2">
        <v>45860</v>
      </c>
      <c r="C378" s="1" t="s">
        <v>30</v>
      </c>
      <c r="D378" s="1" t="s">
        <v>35</v>
      </c>
      <c r="E378" s="1" t="s">
        <v>45</v>
      </c>
      <c r="F378" s="1" t="s">
        <v>32</v>
      </c>
      <c r="G378" s="1" t="s">
        <v>20</v>
      </c>
      <c r="H378">
        <v>215.87</v>
      </c>
      <c r="I378">
        <v>12</v>
      </c>
      <c r="J378">
        <v>2590.44</v>
      </c>
      <c r="K378" t="str">
        <f t="shared" si="5"/>
        <v>July</v>
      </c>
    </row>
    <row r="379" spans="1:11" x14ac:dyDescent="0.25">
      <c r="A379" s="1" t="s">
        <v>415</v>
      </c>
      <c r="B379" s="2">
        <v>45698</v>
      </c>
      <c r="C379" s="1" t="s">
        <v>38</v>
      </c>
      <c r="D379" s="1" t="s">
        <v>12</v>
      </c>
      <c r="E379" s="1" t="s">
        <v>13</v>
      </c>
      <c r="F379" s="1" t="s">
        <v>28</v>
      </c>
      <c r="G379" s="1" t="s">
        <v>36</v>
      </c>
      <c r="H379">
        <v>35.119999999999997</v>
      </c>
      <c r="I379">
        <v>12</v>
      </c>
      <c r="J379">
        <v>421.44</v>
      </c>
      <c r="K379" t="str">
        <f t="shared" si="5"/>
        <v>February</v>
      </c>
    </row>
    <row r="380" spans="1:11" x14ac:dyDescent="0.25">
      <c r="A380" s="1" t="s">
        <v>416</v>
      </c>
      <c r="B380" s="2">
        <v>45767</v>
      </c>
      <c r="C380" s="1" t="s">
        <v>25</v>
      </c>
      <c r="D380" s="1" t="s">
        <v>35</v>
      </c>
      <c r="E380" s="1" t="s">
        <v>18</v>
      </c>
      <c r="F380" s="1" t="s">
        <v>28</v>
      </c>
      <c r="G380" s="1" t="s">
        <v>36</v>
      </c>
      <c r="H380">
        <v>209.18</v>
      </c>
      <c r="I380">
        <v>7</v>
      </c>
      <c r="J380">
        <v>1464.26</v>
      </c>
      <c r="K380" t="str">
        <f t="shared" si="5"/>
        <v>April</v>
      </c>
    </row>
    <row r="381" spans="1:11" x14ac:dyDescent="0.25">
      <c r="A381" s="1" t="s">
        <v>417</v>
      </c>
      <c r="B381" s="2">
        <v>45728</v>
      </c>
      <c r="C381" s="1" t="s">
        <v>25</v>
      </c>
      <c r="D381" s="1" t="s">
        <v>12</v>
      </c>
      <c r="E381" s="1" t="s">
        <v>18</v>
      </c>
      <c r="F381" s="1" t="s">
        <v>14</v>
      </c>
      <c r="G381" s="1" t="s">
        <v>15</v>
      </c>
      <c r="H381">
        <v>92.01</v>
      </c>
      <c r="I381">
        <v>4</v>
      </c>
      <c r="J381">
        <v>368.04</v>
      </c>
      <c r="K381" t="str">
        <f t="shared" si="5"/>
        <v>March</v>
      </c>
    </row>
    <row r="382" spans="1:11" x14ac:dyDescent="0.25">
      <c r="A382" s="1" t="s">
        <v>418</v>
      </c>
      <c r="B382" s="2">
        <v>45683</v>
      </c>
      <c r="C382" s="1" t="s">
        <v>30</v>
      </c>
      <c r="D382" s="1" t="s">
        <v>12</v>
      </c>
      <c r="E382" s="1" t="s">
        <v>23</v>
      </c>
      <c r="F382" s="1" t="s">
        <v>19</v>
      </c>
      <c r="G382" s="1" t="s">
        <v>15</v>
      </c>
      <c r="H382">
        <v>56</v>
      </c>
      <c r="I382">
        <v>17</v>
      </c>
      <c r="J382">
        <v>952</v>
      </c>
      <c r="K382" t="str">
        <f t="shared" si="5"/>
        <v>January</v>
      </c>
    </row>
    <row r="383" spans="1:11" x14ac:dyDescent="0.25">
      <c r="A383" s="1" t="s">
        <v>419</v>
      </c>
      <c r="B383" s="2">
        <v>45869</v>
      </c>
      <c r="C383" s="1" t="s">
        <v>17</v>
      </c>
      <c r="D383" s="1" t="s">
        <v>31</v>
      </c>
      <c r="E383" s="1" t="s">
        <v>45</v>
      </c>
      <c r="F383" s="1" t="s">
        <v>28</v>
      </c>
      <c r="G383" s="1" t="s">
        <v>15</v>
      </c>
      <c r="H383">
        <v>183.28</v>
      </c>
      <c r="I383">
        <v>11</v>
      </c>
      <c r="J383">
        <v>2016.08</v>
      </c>
      <c r="K383" t="str">
        <f t="shared" si="5"/>
        <v>July</v>
      </c>
    </row>
    <row r="384" spans="1:11" x14ac:dyDescent="0.25">
      <c r="A384" s="1" t="s">
        <v>420</v>
      </c>
      <c r="B384" s="2">
        <v>45660</v>
      </c>
      <c r="C384" s="1" t="s">
        <v>30</v>
      </c>
      <c r="D384" s="1" t="s">
        <v>31</v>
      </c>
      <c r="E384" s="1" t="s">
        <v>27</v>
      </c>
      <c r="F384" s="1" t="s">
        <v>61</v>
      </c>
      <c r="G384" s="1" t="s">
        <v>36</v>
      </c>
      <c r="H384">
        <v>168.37</v>
      </c>
      <c r="I384">
        <v>18</v>
      </c>
      <c r="J384">
        <v>3030.66</v>
      </c>
      <c r="K384" t="str">
        <f t="shared" si="5"/>
        <v>January</v>
      </c>
    </row>
    <row r="385" spans="1:11" x14ac:dyDescent="0.25">
      <c r="A385" s="1" t="s">
        <v>421</v>
      </c>
      <c r="B385" s="2">
        <v>45991</v>
      </c>
      <c r="C385" s="1" t="s">
        <v>34</v>
      </c>
      <c r="D385" s="1" t="s">
        <v>35</v>
      </c>
      <c r="E385" s="1" t="s">
        <v>13</v>
      </c>
      <c r="F385" s="1" t="s">
        <v>28</v>
      </c>
      <c r="G385" s="1" t="s">
        <v>15</v>
      </c>
      <c r="H385">
        <v>223.04</v>
      </c>
      <c r="I385">
        <v>7</v>
      </c>
      <c r="J385">
        <v>1561.28</v>
      </c>
      <c r="K385" t="str">
        <f t="shared" si="5"/>
        <v>November</v>
      </c>
    </row>
    <row r="386" spans="1:11" x14ac:dyDescent="0.25">
      <c r="A386" s="1" t="s">
        <v>422</v>
      </c>
      <c r="B386" s="2">
        <v>45703</v>
      </c>
      <c r="C386" s="1" t="s">
        <v>30</v>
      </c>
      <c r="D386" s="1" t="s">
        <v>55</v>
      </c>
      <c r="E386" s="1" t="s">
        <v>27</v>
      </c>
      <c r="F386" s="1" t="s">
        <v>28</v>
      </c>
      <c r="G386" s="1" t="s">
        <v>15</v>
      </c>
      <c r="H386">
        <v>191.72</v>
      </c>
      <c r="I386">
        <v>19</v>
      </c>
      <c r="J386">
        <v>3642.68</v>
      </c>
      <c r="K386" t="str">
        <f t="shared" ref="K386:K449" si="6">TEXT(B:B,"MMMM")</f>
        <v>February</v>
      </c>
    </row>
    <row r="387" spans="1:11" x14ac:dyDescent="0.25">
      <c r="A387" s="1" t="s">
        <v>423</v>
      </c>
      <c r="B387" s="2">
        <v>45747</v>
      </c>
      <c r="C387" s="1" t="s">
        <v>30</v>
      </c>
      <c r="D387" s="1" t="s">
        <v>22</v>
      </c>
      <c r="E387" s="1" t="s">
        <v>41</v>
      </c>
      <c r="F387" s="1" t="s">
        <v>39</v>
      </c>
      <c r="G387" s="1" t="s">
        <v>36</v>
      </c>
      <c r="H387">
        <v>206.77</v>
      </c>
      <c r="I387">
        <v>14</v>
      </c>
      <c r="J387">
        <v>2894.78</v>
      </c>
      <c r="K387" t="str">
        <f t="shared" si="6"/>
        <v>March</v>
      </c>
    </row>
    <row r="388" spans="1:11" x14ac:dyDescent="0.25">
      <c r="A388" s="1" t="s">
        <v>424</v>
      </c>
      <c r="B388" s="2">
        <v>45753</v>
      </c>
      <c r="C388" s="1" t="s">
        <v>11</v>
      </c>
      <c r="D388" s="1" t="s">
        <v>22</v>
      </c>
      <c r="E388" s="1" t="s">
        <v>13</v>
      </c>
      <c r="F388" s="1" t="s">
        <v>42</v>
      </c>
      <c r="G388" s="1" t="s">
        <v>20</v>
      </c>
      <c r="H388">
        <v>92.05</v>
      </c>
      <c r="I388">
        <v>10</v>
      </c>
      <c r="J388">
        <v>920.5</v>
      </c>
      <c r="K388" t="str">
        <f t="shared" si="6"/>
        <v>April</v>
      </c>
    </row>
    <row r="389" spans="1:11" x14ac:dyDescent="0.25">
      <c r="A389" s="1" t="s">
        <v>425</v>
      </c>
      <c r="B389" s="2">
        <v>45712</v>
      </c>
      <c r="C389" s="1" t="s">
        <v>34</v>
      </c>
      <c r="D389" s="1" t="s">
        <v>31</v>
      </c>
      <c r="E389" s="1" t="s">
        <v>27</v>
      </c>
      <c r="F389" s="1" t="s">
        <v>42</v>
      </c>
      <c r="G389" s="1" t="s">
        <v>20</v>
      </c>
      <c r="H389">
        <v>69.040000000000006</v>
      </c>
      <c r="I389">
        <v>11</v>
      </c>
      <c r="J389">
        <v>759.44</v>
      </c>
      <c r="K389" t="str">
        <f t="shared" si="6"/>
        <v>February</v>
      </c>
    </row>
    <row r="390" spans="1:11" x14ac:dyDescent="0.25">
      <c r="A390" s="1" t="s">
        <v>426</v>
      </c>
      <c r="B390" s="2">
        <v>45910</v>
      </c>
      <c r="C390" s="1" t="s">
        <v>25</v>
      </c>
      <c r="D390" s="1" t="s">
        <v>31</v>
      </c>
      <c r="E390" s="1" t="s">
        <v>13</v>
      </c>
      <c r="F390" s="1" t="s">
        <v>14</v>
      </c>
      <c r="G390" s="1" t="s">
        <v>15</v>
      </c>
      <c r="H390">
        <v>195.14</v>
      </c>
      <c r="I390">
        <v>5</v>
      </c>
      <c r="J390">
        <v>975.7</v>
      </c>
      <c r="K390" t="str">
        <f t="shared" si="6"/>
        <v>September</v>
      </c>
    </row>
    <row r="391" spans="1:11" x14ac:dyDescent="0.25">
      <c r="A391" s="1" t="s">
        <v>427</v>
      </c>
      <c r="B391" s="2">
        <v>45827</v>
      </c>
      <c r="C391" s="1" t="s">
        <v>17</v>
      </c>
      <c r="D391" s="1" t="s">
        <v>31</v>
      </c>
      <c r="E391" s="1" t="s">
        <v>27</v>
      </c>
      <c r="F391" s="1" t="s">
        <v>32</v>
      </c>
      <c r="G391" s="1" t="s">
        <v>20</v>
      </c>
      <c r="H391">
        <v>207.5</v>
      </c>
      <c r="I391">
        <v>6</v>
      </c>
      <c r="J391">
        <v>1245</v>
      </c>
      <c r="K391" t="str">
        <f t="shared" si="6"/>
        <v>June</v>
      </c>
    </row>
    <row r="392" spans="1:11" x14ac:dyDescent="0.25">
      <c r="A392" s="1" t="s">
        <v>428</v>
      </c>
      <c r="B392" s="2">
        <v>45753</v>
      </c>
      <c r="C392" s="1" t="s">
        <v>17</v>
      </c>
      <c r="D392" s="1" t="s">
        <v>35</v>
      </c>
      <c r="E392" s="1" t="s">
        <v>13</v>
      </c>
      <c r="F392" s="1" t="s">
        <v>42</v>
      </c>
      <c r="G392" s="1" t="s">
        <v>20</v>
      </c>
      <c r="H392">
        <v>247.91</v>
      </c>
      <c r="I392">
        <v>1</v>
      </c>
      <c r="J392">
        <v>247.91</v>
      </c>
      <c r="K392" t="str">
        <f t="shared" si="6"/>
        <v>April</v>
      </c>
    </row>
    <row r="393" spans="1:11" x14ac:dyDescent="0.25">
      <c r="A393" s="1" t="s">
        <v>429</v>
      </c>
      <c r="B393" s="2">
        <v>45756</v>
      </c>
      <c r="C393" s="1" t="s">
        <v>25</v>
      </c>
      <c r="D393" s="1" t="s">
        <v>12</v>
      </c>
      <c r="E393" s="1" t="s">
        <v>41</v>
      </c>
      <c r="F393" s="1" t="s">
        <v>39</v>
      </c>
      <c r="G393" s="1" t="s">
        <v>36</v>
      </c>
      <c r="H393">
        <v>120.78</v>
      </c>
      <c r="I393">
        <v>6</v>
      </c>
      <c r="J393">
        <v>724.68</v>
      </c>
      <c r="K393" t="str">
        <f t="shared" si="6"/>
        <v>April</v>
      </c>
    </row>
    <row r="394" spans="1:11" x14ac:dyDescent="0.25">
      <c r="A394" s="1" t="s">
        <v>430</v>
      </c>
      <c r="B394" s="2">
        <v>45921</v>
      </c>
      <c r="C394" s="1" t="s">
        <v>11</v>
      </c>
      <c r="D394" s="1" t="s">
        <v>31</v>
      </c>
      <c r="E394" s="1" t="s">
        <v>27</v>
      </c>
      <c r="F394" s="1" t="s">
        <v>19</v>
      </c>
      <c r="G394" s="1" t="s">
        <v>15</v>
      </c>
      <c r="H394">
        <v>111.84</v>
      </c>
      <c r="I394">
        <v>11</v>
      </c>
      <c r="J394">
        <v>1230.24</v>
      </c>
      <c r="K394" t="str">
        <f t="shared" si="6"/>
        <v>September</v>
      </c>
    </row>
    <row r="395" spans="1:11" x14ac:dyDescent="0.25">
      <c r="A395" s="1" t="s">
        <v>431</v>
      </c>
      <c r="B395" s="2">
        <v>45729</v>
      </c>
      <c r="C395" s="1" t="s">
        <v>34</v>
      </c>
      <c r="D395" s="1" t="s">
        <v>26</v>
      </c>
      <c r="E395" s="1" t="s">
        <v>45</v>
      </c>
      <c r="F395" s="1" t="s">
        <v>32</v>
      </c>
      <c r="G395" s="1" t="s">
        <v>36</v>
      </c>
      <c r="H395">
        <v>200.81</v>
      </c>
      <c r="I395">
        <v>16</v>
      </c>
      <c r="J395">
        <v>3212.96</v>
      </c>
      <c r="K395" t="str">
        <f t="shared" si="6"/>
        <v>March</v>
      </c>
    </row>
    <row r="396" spans="1:11" x14ac:dyDescent="0.25">
      <c r="A396" s="1" t="s">
        <v>432</v>
      </c>
      <c r="B396" s="2">
        <v>45778</v>
      </c>
      <c r="C396" s="1" t="s">
        <v>34</v>
      </c>
      <c r="D396" s="1" t="s">
        <v>35</v>
      </c>
      <c r="E396" s="1" t="s">
        <v>13</v>
      </c>
      <c r="F396" s="1" t="s">
        <v>42</v>
      </c>
      <c r="G396" s="1" t="s">
        <v>20</v>
      </c>
      <c r="H396">
        <v>104.98</v>
      </c>
      <c r="I396">
        <v>15</v>
      </c>
      <c r="J396">
        <v>1574.7</v>
      </c>
      <c r="K396" t="str">
        <f t="shared" si="6"/>
        <v>May</v>
      </c>
    </row>
    <row r="397" spans="1:11" x14ac:dyDescent="0.25">
      <c r="A397" s="1" t="s">
        <v>433</v>
      </c>
      <c r="B397" s="2">
        <v>45951</v>
      </c>
      <c r="C397" s="1" t="s">
        <v>34</v>
      </c>
      <c r="D397" s="1" t="s">
        <v>12</v>
      </c>
      <c r="E397" s="1" t="s">
        <v>13</v>
      </c>
      <c r="F397" s="1" t="s">
        <v>28</v>
      </c>
      <c r="G397" s="1" t="s">
        <v>15</v>
      </c>
      <c r="H397">
        <v>234.77</v>
      </c>
      <c r="I397">
        <v>1</v>
      </c>
      <c r="J397">
        <v>234.77</v>
      </c>
      <c r="K397" t="str">
        <f t="shared" si="6"/>
        <v>October</v>
      </c>
    </row>
    <row r="398" spans="1:11" x14ac:dyDescent="0.25">
      <c r="A398" s="1" t="s">
        <v>434</v>
      </c>
      <c r="B398" s="2">
        <v>45689</v>
      </c>
      <c r="C398" s="1" t="s">
        <v>38</v>
      </c>
      <c r="D398" s="1" t="s">
        <v>35</v>
      </c>
      <c r="E398" s="1" t="s">
        <v>23</v>
      </c>
      <c r="F398" s="1" t="s">
        <v>61</v>
      </c>
      <c r="G398" s="1" t="s">
        <v>20</v>
      </c>
      <c r="H398">
        <v>218.85</v>
      </c>
      <c r="I398">
        <v>4</v>
      </c>
      <c r="J398">
        <v>875.4</v>
      </c>
      <c r="K398" t="str">
        <f t="shared" si="6"/>
        <v>February</v>
      </c>
    </row>
    <row r="399" spans="1:11" x14ac:dyDescent="0.25">
      <c r="A399" s="1" t="s">
        <v>435</v>
      </c>
      <c r="B399" s="2">
        <v>45915</v>
      </c>
      <c r="C399" s="1" t="s">
        <v>17</v>
      </c>
      <c r="D399" s="1" t="s">
        <v>22</v>
      </c>
      <c r="E399" s="1" t="s">
        <v>27</v>
      </c>
      <c r="F399" s="1" t="s">
        <v>32</v>
      </c>
      <c r="G399" s="1" t="s">
        <v>36</v>
      </c>
      <c r="H399">
        <v>124.38</v>
      </c>
      <c r="I399">
        <v>10</v>
      </c>
      <c r="J399">
        <v>1243.8</v>
      </c>
      <c r="K399" t="str">
        <f t="shared" si="6"/>
        <v>September</v>
      </c>
    </row>
    <row r="400" spans="1:11" x14ac:dyDescent="0.25">
      <c r="A400" s="1" t="s">
        <v>436</v>
      </c>
      <c r="B400" s="2">
        <v>45972</v>
      </c>
      <c r="C400" s="1" t="s">
        <v>30</v>
      </c>
      <c r="D400" s="1" t="s">
        <v>26</v>
      </c>
      <c r="E400" s="1" t="s">
        <v>41</v>
      </c>
      <c r="F400" s="1" t="s">
        <v>14</v>
      </c>
      <c r="G400" s="1" t="s">
        <v>36</v>
      </c>
      <c r="H400">
        <v>195.19</v>
      </c>
      <c r="I400">
        <v>8</v>
      </c>
      <c r="J400">
        <v>1561.52</v>
      </c>
      <c r="K400" t="str">
        <f t="shared" si="6"/>
        <v>November</v>
      </c>
    </row>
    <row r="401" spans="1:11" x14ac:dyDescent="0.25">
      <c r="A401" s="1" t="s">
        <v>437</v>
      </c>
      <c r="B401" s="2">
        <v>45968</v>
      </c>
      <c r="C401" s="1" t="s">
        <v>38</v>
      </c>
      <c r="D401" s="1" t="s">
        <v>12</v>
      </c>
      <c r="E401" s="1" t="s">
        <v>18</v>
      </c>
      <c r="F401" s="1" t="s">
        <v>61</v>
      </c>
      <c r="G401" s="1" t="s">
        <v>20</v>
      </c>
      <c r="H401">
        <v>196</v>
      </c>
      <c r="I401">
        <v>12</v>
      </c>
      <c r="J401">
        <v>2352</v>
      </c>
      <c r="K401" t="str">
        <f t="shared" si="6"/>
        <v>November</v>
      </c>
    </row>
    <row r="402" spans="1:11" x14ac:dyDescent="0.25">
      <c r="A402" s="1" t="s">
        <v>438</v>
      </c>
      <c r="B402" s="2">
        <v>45998</v>
      </c>
      <c r="C402" s="1" t="s">
        <v>30</v>
      </c>
      <c r="D402" s="1" t="s">
        <v>12</v>
      </c>
      <c r="E402" s="1" t="s">
        <v>18</v>
      </c>
      <c r="F402" s="1" t="s">
        <v>39</v>
      </c>
      <c r="G402" s="1" t="s">
        <v>15</v>
      </c>
      <c r="H402">
        <v>52.69</v>
      </c>
      <c r="I402">
        <v>7</v>
      </c>
      <c r="J402">
        <v>368.83</v>
      </c>
      <c r="K402" t="str">
        <f t="shared" si="6"/>
        <v>December</v>
      </c>
    </row>
    <row r="403" spans="1:11" x14ac:dyDescent="0.25">
      <c r="A403" s="1" t="s">
        <v>439</v>
      </c>
      <c r="B403" s="2">
        <v>45927</v>
      </c>
      <c r="C403" s="1" t="s">
        <v>25</v>
      </c>
      <c r="D403" s="1" t="s">
        <v>12</v>
      </c>
      <c r="E403" s="1" t="s">
        <v>13</v>
      </c>
      <c r="F403" s="1" t="s">
        <v>19</v>
      </c>
      <c r="G403" s="1" t="s">
        <v>20</v>
      </c>
      <c r="H403">
        <v>228.56</v>
      </c>
      <c r="I403">
        <v>15</v>
      </c>
      <c r="J403">
        <v>3428.4</v>
      </c>
      <c r="K403" t="str">
        <f t="shared" si="6"/>
        <v>September</v>
      </c>
    </row>
    <row r="404" spans="1:11" x14ac:dyDescent="0.25">
      <c r="A404" s="1" t="s">
        <v>440</v>
      </c>
      <c r="B404" s="2">
        <v>45715</v>
      </c>
      <c r="C404" s="1" t="s">
        <v>25</v>
      </c>
      <c r="D404" s="1" t="s">
        <v>55</v>
      </c>
      <c r="E404" s="1" t="s">
        <v>23</v>
      </c>
      <c r="F404" s="1" t="s">
        <v>42</v>
      </c>
      <c r="G404" s="1" t="s">
        <v>20</v>
      </c>
      <c r="H404">
        <v>141.16</v>
      </c>
      <c r="I404">
        <v>2</v>
      </c>
      <c r="J404">
        <v>282.32</v>
      </c>
      <c r="K404" t="str">
        <f t="shared" si="6"/>
        <v>February</v>
      </c>
    </row>
    <row r="405" spans="1:11" x14ac:dyDescent="0.25">
      <c r="A405" s="1" t="s">
        <v>441</v>
      </c>
      <c r="B405" s="2">
        <v>45734</v>
      </c>
      <c r="C405" s="1" t="s">
        <v>34</v>
      </c>
      <c r="D405" s="1" t="s">
        <v>55</v>
      </c>
      <c r="E405" s="1" t="s">
        <v>41</v>
      </c>
      <c r="F405" s="1" t="s">
        <v>19</v>
      </c>
      <c r="G405" s="1" t="s">
        <v>20</v>
      </c>
      <c r="H405">
        <v>211.82</v>
      </c>
      <c r="I405">
        <v>6</v>
      </c>
      <c r="J405">
        <v>1270.92</v>
      </c>
      <c r="K405" t="str">
        <f t="shared" si="6"/>
        <v>March</v>
      </c>
    </row>
    <row r="406" spans="1:11" x14ac:dyDescent="0.25">
      <c r="A406" s="1" t="s">
        <v>442</v>
      </c>
      <c r="B406" s="2">
        <v>45763</v>
      </c>
      <c r="C406" s="1" t="s">
        <v>38</v>
      </c>
      <c r="D406" s="1" t="s">
        <v>22</v>
      </c>
      <c r="E406" s="1" t="s">
        <v>18</v>
      </c>
      <c r="F406" s="1" t="s">
        <v>61</v>
      </c>
      <c r="G406" s="1" t="s">
        <v>15</v>
      </c>
      <c r="H406">
        <v>100.41</v>
      </c>
      <c r="I406">
        <v>19</v>
      </c>
      <c r="J406">
        <v>1907.79</v>
      </c>
      <c r="K406" t="str">
        <f t="shared" si="6"/>
        <v>April</v>
      </c>
    </row>
    <row r="407" spans="1:11" x14ac:dyDescent="0.25">
      <c r="A407" s="1" t="s">
        <v>443</v>
      </c>
      <c r="B407" s="2">
        <v>45890</v>
      </c>
      <c r="C407" s="1" t="s">
        <v>25</v>
      </c>
      <c r="D407" s="1" t="s">
        <v>31</v>
      </c>
      <c r="E407" s="1" t="s">
        <v>41</v>
      </c>
      <c r="F407" s="1" t="s">
        <v>42</v>
      </c>
      <c r="G407" s="1" t="s">
        <v>15</v>
      </c>
      <c r="H407">
        <v>227.02</v>
      </c>
      <c r="I407">
        <v>5</v>
      </c>
      <c r="J407">
        <v>1135.0999999999999</v>
      </c>
      <c r="K407" t="str">
        <f t="shared" si="6"/>
        <v>August</v>
      </c>
    </row>
    <row r="408" spans="1:11" x14ac:dyDescent="0.25">
      <c r="A408" s="1" t="s">
        <v>444</v>
      </c>
      <c r="B408" s="2">
        <v>45944</v>
      </c>
      <c r="C408" s="1" t="s">
        <v>17</v>
      </c>
      <c r="D408" s="1" t="s">
        <v>35</v>
      </c>
      <c r="E408" s="1" t="s">
        <v>27</v>
      </c>
      <c r="F408" s="1" t="s">
        <v>19</v>
      </c>
      <c r="G408" s="1" t="s">
        <v>36</v>
      </c>
      <c r="H408">
        <v>115.62</v>
      </c>
      <c r="I408">
        <v>15</v>
      </c>
      <c r="J408">
        <v>1734.3</v>
      </c>
      <c r="K408" t="str">
        <f t="shared" si="6"/>
        <v>October</v>
      </c>
    </row>
    <row r="409" spans="1:11" x14ac:dyDescent="0.25">
      <c r="A409" s="1" t="s">
        <v>445</v>
      </c>
      <c r="B409" s="2">
        <v>45788</v>
      </c>
      <c r="C409" s="1" t="s">
        <v>17</v>
      </c>
      <c r="D409" s="1" t="s">
        <v>26</v>
      </c>
      <c r="E409" s="1" t="s">
        <v>18</v>
      </c>
      <c r="F409" s="1" t="s">
        <v>19</v>
      </c>
      <c r="G409" s="1" t="s">
        <v>15</v>
      </c>
      <c r="H409">
        <v>32.380000000000003</v>
      </c>
      <c r="I409">
        <v>1</v>
      </c>
      <c r="J409">
        <v>32.380000000000003</v>
      </c>
      <c r="K409" t="str">
        <f t="shared" si="6"/>
        <v>May</v>
      </c>
    </row>
    <row r="410" spans="1:11" x14ac:dyDescent="0.25">
      <c r="A410" s="1" t="s">
        <v>446</v>
      </c>
      <c r="B410" s="2">
        <v>45874</v>
      </c>
      <c r="C410" s="1" t="s">
        <v>17</v>
      </c>
      <c r="D410" s="1" t="s">
        <v>22</v>
      </c>
      <c r="E410" s="1" t="s">
        <v>18</v>
      </c>
      <c r="F410" s="1" t="s">
        <v>19</v>
      </c>
      <c r="G410" s="1" t="s">
        <v>15</v>
      </c>
      <c r="H410">
        <v>229.18</v>
      </c>
      <c r="I410">
        <v>12</v>
      </c>
      <c r="J410">
        <v>2750.16</v>
      </c>
      <c r="K410" t="str">
        <f t="shared" si="6"/>
        <v>August</v>
      </c>
    </row>
    <row r="411" spans="1:11" x14ac:dyDescent="0.25">
      <c r="A411" s="1" t="s">
        <v>447</v>
      </c>
      <c r="B411" s="2">
        <v>45899</v>
      </c>
      <c r="C411" s="1" t="s">
        <v>34</v>
      </c>
      <c r="D411" s="1" t="s">
        <v>31</v>
      </c>
      <c r="E411" s="1" t="s">
        <v>23</v>
      </c>
      <c r="F411" s="1" t="s">
        <v>39</v>
      </c>
      <c r="G411" s="1" t="s">
        <v>15</v>
      </c>
      <c r="H411">
        <v>50.08</v>
      </c>
      <c r="I411">
        <v>2</v>
      </c>
      <c r="J411">
        <v>100.16</v>
      </c>
      <c r="K411" t="str">
        <f t="shared" si="6"/>
        <v>August</v>
      </c>
    </row>
    <row r="412" spans="1:11" x14ac:dyDescent="0.25">
      <c r="A412" s="1" t="s">
        <v>448</v>
      </c>
      <c r="B412" s="2">
        <v>45986</v>
      </c>
      <c r="C412" s="1" t="s">
        <v>34</v>
      </c>
      <c r="D412" s="1" t="s">
        <v>31</v>
      </c>
      <c r="E412" s="1" t="s">
        <v>41</v>
      </c>
      <c r="F412" s="1" t="s">
        <v>39</v>
      </c>
      <c r="G412" s="1" t="s">
        <v>36</v>
      </c>
      <c r="H412">
        <v>100.25</v>
      </c>
      <c r="I412">
        <v>14</v>
      </c>
      <c r="J412">
        <v>1403.5</v>
      </c>
      <c r="K412" t="str">
        <f t="shared" si="6"/>
        <v>November</v>
      </c>
    </row>
    <row r="413" spans="1:11" x14ac:dyDescent="0.25">
      <c r="A413" s="1" t="s">
        <v>449</v>
      </c>
      <c r="B413" s="2">
        <v>45850</v>
      </c>
      <c r="C413" s="1" t="s">
        <v>17</v>
      </c>
      <c r="D413" s="1" t="s">
        <v>12</v>
      </c>
      <c r="E413" s="1" t="s">
        <v>18</v>
      </c>
      <c r="F413" s="1" t="s">
        <v>14</v>
      </c>
      <c r="G413" s="1" t="s">
        <v>20</v>
      </c>
      <c r="H413">
        <v>239.01</v>
      </c>
      <c r="I413">
        <v>3</v>
      </c>
      <c r="J413">
        <v>717.03</v>
      </c>
      <c r="K413" t="str">
        <f t="shared" si="6"/>
        <v>July</v>
      </c>
    </row>
    <row r="414" spans="1:11" x14ac:dyDescent="0.25">
      <c r="A414" s="1" t="s">
        <v>450</v>
      </c>
      <c r="B414" s="2">
        <v>45836</v>
      </c>
      <c r="C414" s="1" t="s">
        <v>30</v>
      </c>
      <c r="D414" s="1" t="s">
        <v>55</v>
      </c>
      <c r="E414" s="1" t="s">
        <v>41</v>
      </c>
      <c r="F414" s="1" t="s">
        <v>42</v>
      </c>
      <c r="G414" s="1" t="s">
        <v>15</v>
      </c>
      <c r="H414">
        <v>239.13</v>
      </c>
      <c r="I414">
        <v>4</v>
      </c>
      <c r="J414">
        <v>956.52</v>
      </c>
      <c r="K414" t="str">
        <f t="shared" si="6"/>
        <v>June</v>
      </c>
    </row>
    <row r="415" spans="1:11" x14ac:dyDescent="0.25">
      <c r="A415" s="1" t="s">
        <v>451</v>
      </c>
      <c r="B415" s="2">
        <v>45772</v>
      </c>
      <c r="C415" s="1" t="s">
        <v>11</v>
      </c>
      <c r="D415" s="1" t="s">
        <v>35</v>
      </c>
      <c r="E415" s="1" t="s">
        <v>41</v>
      </c>
      <c r="F415" s="1" t="s">
        <v>28</v>
      </c>
      <c r="G415" s="1" t="s">
        <v>20</v>
      </c>
      <c r="H415">
        <v>156.16</v>
      </c>
      <c r="I415">
        <v>1</v>
      </c>
      <c r="J415">
        <v>156.16</v>
      </c>
      <c r="K415" t="str">
        <f t="shared" si="6"/>
        <v>April</v>
      </c>
    </row>
    <row r="416" spans="1:11" x14ac:dyDescent="0.25">
      <c r="A416" s="1" t="s">
        <v>452</v>
      </c>
      <c r="B416" s="2">
        <v>45936</v>
      </c>
      <c r="C416" s="1" t="s">
        <v>25</v>
      </c>
      <c r="D416" s="1" t="s">
        <v>31</v>
      </c>
      <c r="E416" s="1" t="s">
        <v>23</v>
      </c>
      <c r="F416" s="1" t="s">
        <v>14</v>
      </c>
      <c r="G416" s="1" t="s">
        <v>36</v>
      </c>
      <c r="H416">
        <v>169</v>
      </c>
      <c r="I416">
        <v>14</v>
      </c>
      <c r="J416">
        <v>2366</v>
      </c>
      <c r="K416" t="str">
        <f t="shared" si="6"/>
        <v>October</v>
      </c>
    </row>
    <row r="417" spans="1:11" x14ac:dyDescent="0.25">
      <c r="A417" s="1" t="s">
        <v>453</v>
      </c>
      <c r="B417" s="2">
        <v>45835</v>
      </c>
      <c r="C417" s="1" t="s">
        <v>34</v>
      </c>
      <c r="D417" s="1" t="s">
        <v>26</v>
      </c>
      <c r="E417" s="1" t="s">
        <v>27</v>
      </c>
      <c r="F417" s="1" t="s">
        <v>39</v>
      </c>
      <c r="G417" s="1" t="s">
        <v>15</v>
      </c>
      <c r="H417">
        <v>128.66</v>
      </c>
      <c r="I417">
        <v>5</v>
      </c>
      <c r="J417">
        <v>643.29999999999995</v>
      </c>
      <c r="K417" t="str">
        <f t="shared" si="6"/>
        <v>June</v>
      </c>
    </row>
    <row r="418" spans="1:11" x14ac:dyDescent="0.25">
      <c r="A418" s="1" t="s">
        <v>454</v>
      </c>
      <c r="B418" s="2">
        <v>45674</v>
      </c>
      <c r="C418" s="1" t="s">
        <v>25</v>
      </c>
      <c r="D418" s="1" t="s">
        <v>22</v>
      </c>
      <c r="E418" s="1" t="s">
        <v>23</v>
      </c>
      <c r="F418" s="1" t="s">
        <v>14</v>
      </c>
      <c r="G418" s="1" t="s">
        <v>15</v>
      </c>
      <c r="H418">
        <v>94.51</v>
      </c>
      <c r="I418">
        <v>14</v>
      </c>
      <c r="J418">
        <v>1323.14</v>
      </c>
      <c r="K418" t="str">
        <f t="shared" si="6"/>
        <v>January</v>
      </c>
    </row>
    <row r="419" spans="1:11" x14ac:dyDescent="0.25">
      <c r="A419" s="1" t="s">
        <v>455</v>
      </c>
      <c r="B419" s="2">
        <v>45709</v>
      </c>
      <c r="C419" s="1" t="s">
        <v>11</v>
      </c>
      <c r="D419" s="1" t="s">
        <v>31</v>
      </c>
      <c r="E419" s="1" t="s">
        <v>18</v>
      </c>
      <c r="F419" s="1" t="s">
        <v>28</v>
      </c>
      <c r="G419" s="1" t="s">
        <v>20</v>
      </c>
      <c r="H419">
        <v>102.31</v>
      </c>
      <c r="I419">
        <v>20</v>
      </c>
      <c r="J419">
        <v>2046.2</v>
      </c>
      <c r="K419" t="str">
        <f t="shared" si="6"/>
        <v>February</v>
      </c>
    </row>
    <row r="420" spans="1:11" x14ac:dyDescent="0.25">
      <c r="A420" s="1" t="s">
        <v>456</v>
      </c>
      <c r="B420" s="2">
        <v>45682</v>
      </c>
      <c r="C420" s="1" t="s">
        <v>17</v>
      </c>
      <c r="D420" s="1" t="s">
        <v>22</v>
      </c>
      <c r="E420" s="1" t="s">
        <v>41</v>
      </c>
      <c r="F420" s="1" t="s">
        <v>61</v>
      </c>
      <c r="G420" s="1" t="s">
        <v>15</v>
      </c>
      <c r="H420">
        <v>177.95</v>
      </c>
      <c r="I420">
        <v>8</v>
      </c>
      <c r="J420">
        <v>1423.6</v>
      </c>
      <c r="K420" t="str">
        <f t="shared" si="6"/>
        <v>January</v>
      </c>
    </row>
    <row r="421" spans="1:11" x14ac:dyDescent="0.25">
      <c r="A421" s="1" t="s">
        <v>457</v>
      </c>
      <c r="B421" s="2">
        <v>45934</v>
      </c>
      <c r="C421" s="1" t="s">
        <v>11</v>
      </c>
      <c r="D421" s="1" t="s">
        <v>26</v>
      </c>
      <c r="E421" s="1" t="s">
        <v>18</v>
      </c>
      <c r="F421" s="1" t="s">
        <v>32</v>
      </c>
      <c r="G421" s="1" t="s">
        <v>15</v>
      </c>
      <c r="H421">
        <v>195.52</v>
      </c>
      <c r="I421">
        <v>7</v>
      </c>
      <c r="J421">
        <v>1368.64</v>
      </c>
      <c r="K421" t="str">
        <f t="shared" si="6"/>
        <v>October</v>
      </c>
    </row>
    <row r="422" spans="1:11" x14ac:dyDescent="0.25">
      <c r="A422" s="1" t="s">
        <v>458</v>
      </c>
      <c r="B422" s="2">
        <v>45952</v>
      </c>
      <c r="C422" s="1" t="s">
        <v>25</v>
      </c>
      <c r="D422" s="1" t="s">
        <v>55</v>
      </c>
      <c r="E422" s="1" t="s">
        <v>27</v>
      </c>
      <c r="F422" s="1" t="s">
        <v>39</v>
      </c>
      <c r="G422" s="1" t="s">
        <v>36</v>
      </c>
      <c r="H422">
        <v>204.15</v>
      </c>
      <c r="I422">
        <v>11</v>
      </c>
      <c r="J422">
        <v>2245.65</v>
      </c>
      <c r="K422" t="str">
        <f t="shared" si="6"/>
        <v>October</v>
      </c>
    </row>
    <row r="423" spans="1:11" x14ac:dyDescent="0.25">
      <c r="A423" s="1" t="s">
        <v>459</v>
      </c>
      <c r="B423" s="2">
        <v>45779</v>
      </c>
      <c r="C423" s="1" t="s">
        <v>30</v>
      </c>
      <c r="D423" s="1" t="s">
        <v>12</v>
      </c>
      <c r="E423" s="1" t="s">
        <v>18</v>
      </c>
      <c r="F423" s="1" t="s">
        <v>14</v>
      </c>
      <c r="G423" s="1" t="s">
        <v>36</v>
      </c>
      <c r="H423">
        <v>203.72</v>
      </c>
      <c r="I423">
        <v>10</v>
      </c>
      <c r="J423">
        <v>2037.2</v>
      </c>
      <c r="K423" t="str">
        <f t="shared" si="6"/>
        <v>May</v>
      </c>
    </row>
    <row r="424" spans="1:11" x14ac:dyDescent="0.25">
      <c r="A424" s="1" t="s">
        <v>460</v>
      </c>
      <c r="B424" s="2">
        <v>45811</v>
      </c>
      <c r="C424" s="1" t="s">
        <v>11</v>
      </c>
      <c r="D424" s="1" t="s">
        <v>55</v>
      </c>
      <c r="E424" s="1" t="s">
        <v>18</v>
      </c>
      <c r="F424" s="1" t="s">
        <v>28</v>
      </c>
      <c r="G424" s="1" t="s">
        <v>15</v>
      </c>
      <c r="H424">
        <v>50.07</v>
      </c>
      <c r="I424">
        <v>9</v>
      </c>
      <c r="J424">
        <v>450.63</v>
      </c>
      <c r="K424" t="str">
        <f t="shared" si="6"/>
        <v>June</v>
      </c>
    </row>
    <row r="425" spans="1:11" x14ac:dyDescent="0.25">
      <c r="A425" s="1" t="s">
        <v>461</v>
      </c>
      <c r="B425" s="2">
        <v>45978</v>
      </c>
      <c r="C425" s="1" t="s">
        <v>25</v>
      </c>
      <c r="D425" s="1" t="s">
        <v>31</v>
      </c>
      <c r="E425" s="1" t="s">
        <v>45</v>
      </c>
      <c r="F425" s="1" t="s">
        <v>32</v>
      </c>
      <c r="G425" s="1" t="s">
        <v>20</v>
      </c>
      <c r="H425">
        <v>138.77000000000001</v>
      </c>
      <c r="I425">
        <v>14</v>
      </c>
      <c r="J425">
        <v>1942.78</v>
      </c>
      <c r="K425" t="str">
        <f t="shared" si="6"/>
        <v>November</v>
      </c>
    </row>
    <row r="426" spans="1:11" x14ac:dyDescent="0.25">
      <c r="A426" s="1" t="s">
        <v>462</v>
      </c>
      <c r="B426" s="2">
        <v>46001</v>
      </c>
      <c r="C426" s="1" t="s">
        <v>25</v>
      </c>
      <c r="D426" s="1" t="s">
        <v>35</v>
      </c>
      <c r="E426" s="1" t="s">
        <v>27</v>
      </c>
      <c r="F426" s="1" t="s">
        <v>61</v>
      </c>
      <c r="G426" s="1" t="s">
        <v>36</v>
      </c>
      <c r="H426">
        <v>42.66</v>
      </c>
      <c r="I426">
        <v>13</v>
      </c>
      <c r="J426">
        <v>554.58000000000004</v>
      </c>
      <c r="K426" t="str">
        <f t="shared" si="6"/>
        <v>December</v>
      </c>
    </row>
    <row r="427" spans="1:11" x14ac:dyDescent="0.25">
      <c r="A427" s="1" t="s">
        <v>463</v>
      </c>
      <c r="B427" s="2">
        <v>45734</v>
      </c>
      <c r="C427" s="1" t="s">
        <v>38</v>
      </c>
      <c r="D427" s="1" t="s">
        <v>26</v>
      </c>
      <c r="E427" s="1" t="s">
        <v>18</v>
      </c>
      <c r="F427" s="1" t="s">
        <v>61</v>
      </c>
      <c r="G427" s="1" t="s">
        <v>15</v>
      </c>
      <c r="H427">
        <v>150.9</v>
      </c>
      <c r="I427">
        <v>10</v>
      </c>
      <c r="J427">
        <v>1509</v>
      </c>
      <c r="K427" t="str">
        <f t="shared" si="6"/>
        <v>March</v>
      </c>
    </row>
    <row r="428" spans="1:11" x14ac:dyDescent="0.25">
      <c r="A428" s="1" t="s">
        <v>464</v>
      </c>
      <c r="B428" s="2">
        <v>45773</v>
      </c>
      <c r="C428" s="1" t="s">
        <v>17</v>
      </c>
      <c r="D428" s="1" t="s">
        <v>26</v>
      </c>
      <c r="E428" s="1" t="s">
        <v>41</v>
      </c>
      <c r="F428" s="1" t="s">
        <v>19</v>
      </c>
      <c r="G428" s="1" t="s">
        <v>20</v>
      </c>
      <c r="H428">
        <v>127.14</v>
      </c>
      <c r="I428">
        <v>10</v>
      </c>
      <c r="J428">
        <v>1271.4000000000001</v>
      </c>
      <c r="K428" t="str">
        <f t="shared" si="6"/>
        <v>April</v>
      </c>
    </row>
    <row r="429" spans="1:11" x14ac:dyDescent="0.25">
      <c r="A429" s="1" t="s">
        <v>465</v>
      </c>
      <c r="B429" s="2">
        <v>45869</v>
      </c>
      <c r="C429" s="1" t="s">
        <v>25</v>
      </c>
      <c r="D429" s="1" t="s">
        <v>55</v>
      </c>
      <c r="E429" s="1" t="s">
        <v>23</v>
      </c>
      <c r="F429" s="1" t="s">
        <v>61</v>
      </c>
      <c r="G429" s="1" t="s">
        <v>15</v>
      </c>
      <c r="H429">
        <v>225.29</v>
      </c>
      <c r="I429">
        <v>14</v>
      </c>
      <c r="J429">
        <v>3154.06</v>
      </c>
      <c r="K429" t="str">
        <f t="shared" si="6"/>
        <v>July</v>
      </c>
    </row>
    <row r="430" spans="1:11" x14ac:dyDescent="0.25">
      <c r="A430" s="1" t="s">
        <v>466</v>
      </c>
      <c r="B430" s="2">
        <v>45788</v>
      </c>
      <c r="C430" s="1" t="s">
        <v>34</v>
      </c>
      <c r="D430" s="1" t="s">
        <v>12</v>
      </c>
      <c r="E430" s="1" t="s">
        <v>45</v>
      </c>
      <c r="F430" s="1" t="s">
        <v>61</v>
      </c>
      <c r="G430" s="1" t="s">
        <v>36</v>
      </c>
      <c r="H430">
        <v>107.2</v>
      </c>
      <c r="I430">
        <v>7</v>
      </c>
      <c r="J430">
        <v>750.4</v>
      </c>
      <c r="K430" t="str">
        <f t="shared" si="6"/>
        <v>May</v>
      </c>
    </row>
    <row r="431" spans="1:11" x14ac:dyDescent="0.25">
      <c r="A431" s="1" t="s">
        <v>467</v>
      </c>
      <c r="B431" s="2">
        <v>45705</v>
      </c>
      <c r="C431" s="1" t="s">
        <v>17</v>
      </c>
      <c r="D431" s="1" t="s">
        <v>26</v>
      </c>
      <c r="E431" s="1" t="s">
        <v>45</v>
      </c>
      <c r="F431" s="1" t="s">
        <v>32</v>
      </c>
      <c r="G431" s="1" t="s">
        <v>36</v>
      </c>
      <c r="H431">
        <v>55.75</v>
      </c>
      <c r="I431">
        <v>18</v>
      </c>
      <c r="J431">
        <v>1003.5</v>
      </c>
      <c r="K431" t="str">
        <f t="shared" si="6"/>
        <v>February</v>
      </c>
    </row>
    <row r="432" spans="1:11" x14ac:dyDescent="0.25">
      <c r="A432" s="1" t="s">
        <v>468</v>
      </c>
      <c r="B432" s="2">
        <v>46002</v>
      </c>
      <c r="C432" s="1" t="s">
        <v>25</v>
      </c>
      <c r="D432" s="1" t="s">
        <v>22</v>
      </c>
      <c r="E432" s="1" t="s">
        <v>45</v>
      </c>
      <c r="F432" s="1" t="s">
        <v>14</v>
      </c>
      <c r="G432" s="1" t="s">
        <v>20</v>
      </c>
      <c r="H432">
        <v>61.46</v>
      </c>
      <c r="I432">
        <v>20</v>
      </c>
      <c r="J432">
        <v>1229.2</v>
      </c>
      <c r="K432" t="str">
        <f t="shared" si="6"/>
        <v>December</v>
      </c>
    </row>
    <row r="433" spans="1:11" x14ac:dyDescent="0.25">
      <c r="A433" s="1" t="s">
        <v>469</v>
      </c>
      <c r="B433" s="2">
        <v>46001</v>
      </c>
      <c r="C433" s="1" t="s">
        <v>30</v>
      </c>
      <c r="D433" s="1" t="s">
        <v>31</v>
      </c>
      <c r="E433" s="1" t="s">
        <v>23</v>
      </c>
      <c r="F433" s="1" t="s">
        <v>39</v>
      </c>
      <c r="G433" s="1" t="s">
        <v>36</v>
      </c>
      <c r="H433">
        <v>197.53</v>
      </c>
      <c r="I433">
        <v>18</v>
      </c>
      <c r="J433">
        <v>3555.54</v>
      </c>
      <c r="K433" t="str">
        <f t="shared" si="6"/>
        <v>December</v>
      </c>
    </row>
    <row r="434" spans="1:11" x14ac:dyDescent="0.25">
      <c r="A434" s="1" t="s">
        <v>470</v>
      </c>
      <c r="B434" s="2">
        <v>45813</v>
      </c>
      <c r="C434" s="1" t="s">
        <v>30</v>
      </c>
      <c r="D434" s="1" t="s">
        <v>26</v>
      </c>
      <c r="E434" s="1" t="s">
        <v>27</v>
      </c>
      <c r="F434" s="1" t="s">
        <v>19</v>
      </c>
      <c r="G434" s="1" t="s">
        <v>20</v>
      </c>
      <c r="H434">
        <v>166.01</v>
      </c>
      <c r="I434">
        <v>1</v>
      </c>
      <c r="J434">
        <v>166.01</v>
      </c>
      <c r="K434" t="str">
        <f t="shared" si="6"/>
        <v>June</v>
      </c>
    </row>
    <row r="435" spans="1:11" x14ac:dyDescent="0.25">
      <c r="A435" s="1" t="s">
        <v>471</v>
      </c>
      <c r="B435" s="2">
        <v>45903</v>
      </c>
      <c r="C435" s="1" t="s">
        <v>17</v>
      </c>
      <c r="D435" s="1" t="s">
        <v>55</v>
      </c>
      <c r="E435" s="1" t="s">
        <v>27</v>
      </c>
      <c r="F435" s="1" t="s">
        <v>14</v>
      </c>
      <c r="G435" s="1" t="s">
        <v>36</v>
      </c>
      <c r="H435">
        <v>52.25</v>
      </c>
      <c r="I435">
        <v>8</v>
      </c>
      <c r="J435">
        <v>418</v>
      </c>
      <c r="K435" t="str">
        <f t="shared" si="6"/>
        <v>September</v>
      </c>
    </row>
    <row r="436" spans="1:11" x14ac:dyDescent="0.25">
      <c r="A436" s="1" t="s">
        <v>472</v>
      </c>
      <c r="B436" s="2">
        <v>45780</v>
      </c>
      <c r="C436" s="1" t="s">
        <v>34</v>
      </c>
      <c r="D436" s="1" t="s">
        <v>35</v>
      </c>
      <c r="E436" s="1" t="s">
        <v>41</v>
      </c>
      <c r="F436" s="1" t="s">
        <v>61</v>
      </c>
      <c r="G436" s="1" t="s">
        <v>20</v>
      </c>
      <c r="H436">
        <v>48.5</v>
      </c>
      <c r="I436">
        <v>18</v>
      </c>
      <c r="J436">
        <v>873</v>
      </c>
      <c r="K436" t="str">
        <f t="shared" si="6"/>
        <v>May</v>
      </c>
    </row>
    <row r="437" spans="1:11" x14ac:dyDescent="0.25">
      <c r="A437" s="1" t="s">
        <v>473</v>
      </c>
      <c r="B437" s="2">
        <v>45990</v>
      </c>
      <c r="C437" s="1" t="s">
        <v>34</v>
      </c>
      <c r="D437" s="1" t="s">
        <v>35</v>
      </c>
      <c r="E437" s="1" t="s">
        <v>13</v>
      </c>
      <c r="F437" s="1" t="s">
        <v>42</v>
      </c>
      <c r="G437" s="1" t="s">
        <v>36</v>
      </c>
      <c r="H437">
        <v>184.21</v>
      </c>
      <c r="I437">
        <v>12</v>
      </c>
      <c r="J437">
        <v>2210.52</v>
      </c>
      <c r="K437" t="str">
        <f t="shared" si="6"/>
        <v>November</v>
      </c>
    </row>
    <row r="438" spans="1:11" x14ac:dyDescent="0.25">
      <c r="A438" s="1" t="s">
        <v>474</v>
      </c>
      <c r="B438" s="2">
        <v>45896</v>
      </c>
      <c r="C438" s="1" t="s">
        <v>17</v>
      </c>
      <c r="D438" s="1" t="s">
        <v>31</v>
      </c>
      <c r="E438" s="1" t="s">
        <v>13</v>
      </c>
      <c r="F438" s="1" t="s">
        <v>14</v>
      </c>
      <c r="G438" s="1" t="s">
        <v>36</v>
      </c>
      <c r="H438">
        <v>46.01</v>
      </c>
      <c r="I438">
        <v>4</v>
      </c>
      <c r="J438">
        <v>184.04</v>
      </c>
      <c r="K438" t="str">
        <f t="shared" si="6"/>
        <v>August</v>
      </c>
    </row>
    <row r="439" spans="1:11" x14ac:dyDescent="0.25">
      <c r="A439" s="1" t="s">
        <v>475</v>
      </c>
      <c r="B439" s="2">
        <v>45818</v>
      </c>
      <c r="C439" s="1" t="s">
        <v>11</v>
      </c>
      <c r="D439" s="1" t="s">
        <v>55</v>
      </c>
      <c r="E439" s="1" t="s">
        <v>23</v>
      </c>
      <c r="F439" s="1" t="s">
        <v>28</v>
      </c>
      <c r="G439" s="1" t="s">
        <v>15</v>
      </c>
      <c r="H439">
        <v>210.81</v>
      </c>
      <c r="I439">
        <v>14</v>
      </c>
      <c r="J439">
        <v>2951.34</v>
      </c>
      <c r="K439" t="str">
        <f t="shared" si="6"/>
        <v>June</v>
      </c>
    </row>
    <row r="440" spans="1:11" x14ac:dyDescent="0.25">
      <c r="A440" s="1" t="s">
        <v>476</v>
      </c>
      <c r="B440" s="2">
        <v>45666</v>
      </c>
      <c r="C440" s="1" t="s">
        <v>25</v>
      </c>
      <c r="D440" s="1" t="s">
        <v>55</v>
      </c>
      <c r="E440" s="1" t="s">
        <v>18</v>
      </c>
      <c r="F440" s="1" t="s">
        <v>28</v>
      </c>
      <c r="G440" s="1" t="s">
        <v>36</v>
      </c>
      <c r="H440">
        <v>185.37</v>
      </c>
      <c r="I440">
        <v>9</v>
      </c>
      <c r="J440">
        <v>1668.33</v>
      </c>
      <c r="K440" t="str">
        <f t="shared" si="6"/>
        <v>January</v>
      </c>
    </row>
    <row r="441" spans="1:11" x14ac:dyDescent="0.25">
      <c r="A441" s="1" t="s">
        <v>477</v>
      </c>
      <c r="B441" s="2">
        <v>45809</v>
      </c>
      <c r="C441" s="1" t="s">
        <v>30</v>
      </c>
      <c r="D441" s="1" t="s">
        <v>35</v>
      </c>
      <c r="E441" s="1" t="s">
        <v>23</v>
      </c>
      <c r="F441" s="1" t="s">
        <v>61</v>
      </c>
      <c r="G441" s="1" t="s">
        <v>20</v>
      </c>
      <c r="H441">
        <v>47.9</v>
      </c>
      <c r="I441">
        <v>5</v>
      </c>
      <c r="J441">
        <v>239.5</v>
      </c>
      <c r="K441" t="str">
        <f t="shared" si="6"/>
        <v>June</v>
      </c>
    </row>
    <row r="442" spans="1:11" x14ac:dyDescent="0.25">
      <c r="A442" s="1" t="s">
        <v>478</v>
      </c>
      <c r="B442" s="2">
        <v>45783</v>
      </c>
      <c r="C442" s="1" t="s">
        <v>25</v>
      </c>
      <c r="D442" s="1" t="s">
        <v>12</v>
      </c>
      <c r="E442" s="1" t="s">
        <v>27</v>
      </c>
      <c r="F442" s="1" t="s">
        <v>32</v>
      </c>
      <c r="G442" s="1" t="s">
        <v>36</v>
      </c>
      <c r="H442">
        <v>48.66</v>
      </c>
      <c r="I442">
        <v>16</v>
      </c>
      <c r="J442">
        <v>778.56</v>
      </c>
      <c r="K442" t="str">
        <f t="shared" si="6"/>
        <v>May</v>
      </c>
    </row>
    <row r="443" spans="1:11" x14ac:dyDescent="0.25">
      <c r="A443" s="1" t="s">
        <v>479</v>
      </c>
      <c r="B443" s="2">
        <v>45908</v>
      </c>
      <c r="C443" s="1" t="s">
        <v>38</v>
      </c>
      <c r="D443" s="1" t="s">
        <v>26</v>
      </c>
      <c r="E443" s="1" t="s">
        <v>27</v>
      </c>
      <c r="F443" s="1" t="s">
        <v>39</v>
      </c>
      <c r="G443" s="1" t="s">
        <v>36</v>
      </c>
      <c r="H443">
        <v>247.06</v>
      </c>
      <c r="I443">
        <v>16</v>
      </c>
      <c r="J443">
        <v>3952.96</v>
      </c>
      <c r="K443" t="str">
        <f t="shared" si="6"/>
        <v>September</v>
      </c>
    </row>
    <row r="444" spans="1:11" x14ac:dyDescent="0.25">
      <c r="A444" s="1" t="s">
        <v>480</v>
      </c>
      <c r="B444" s="2">
        <v>45744</v>
      </c>
      <c r="C444" s="1" t="s">
        <v>17</v>
      </c>
      <c r="D444" s="1" t="s">
        <v>55</v>
      </c>
      <c r="E444" s="1" t="s">
        <v>41</v>
      </c>
      <c r="F444" s="1" t="s">
        <v>14</v>
      </c>
      <c r="G444" s="1" t="s">
        <v>20</v>
      </c>
      <c r="H444">
        <v>112.34</v>
      </c>
      <c r="I444">
        <v>5</v>
      </c>
      <c r="J444">
        <v>561.70000000000005</v>
      </c>
      <c r="K444" t="str">
        <f t="shared" si="6"/>
        <v>March</v>
      </c>
    </row>
    <row r="445" spans="1:11" x14ac:dyDescent="0.25">
      <c r="A445" s="1" t="s">
        <v>481</v>
      </c>
      <c r="B445" s="2">
        <v>45986</v>
      </c>
      <c r="C445" s="1" t="s">
        <v>25</v>
      </c>
      <c r="D445" s="1" t="s">
        <v>22</v>
      </c>
      <c r="E445" s="1" t="s">
        <v>45</v>
      </c>
      <c r="F445" s="1" t="s">
        <v>39</v>
      </c>
      <c r="G445" s="1" t="s">
        <v>20</v>
      </c>
      <c r="H445">
        <v>111.54</v>
      </c>
      <c r="I445">
        <v>2</v>
      </c>
      <c r="J445">
        <v>223.08</v>
      </c>
      <c r="K445" t="str">
        <f t="shared" si="6"/>
        <v>November</v>
      </c>
    </row>
    <row r="446" spans="1:11" x14ac:dyDescent="0.25">
      <c r="A446" s="1" t="s">
        <v>482</v>
      </c>
      <c r="B446" s="2">
        <v>45682</v>
      </c>
      <c r="C446" s="1" t="s">
        <v>38</v>
      </c>
      <c r="D446" s="1" t="s">
        <v>26</v>
      </c>
      <c r="E446" s="1" t="s">
        <v>27</v>
      </c>
      <c r="F446" s="1" t="s">
        <v>14</v>
      </c>
      <c r="G446" s="1" t="s">
        <v>15</v>
      </c>
      <c r="H446">
        <v>208.82</v>
      </c>
      <c r="I446">
        <v>1</v>
      </c>
      <c r="J446">
        <v>208.82</v>
      </c>
      <c r="K446" t="str">
        <f t="shared" si="6"/>
        <v>January</v>
      </c>
    </row>
    <row r="447" spans="1:11" x14ac:dyDescent="0.25">
      <c r="A447" s="1" t="s">
        <v>483</v>
      </c>
      <c r="B447" s="2">
        <v>46020</v>
      </c>
      <c r="C447" s="1" t="s">
        <v>11</v>
      </c>
      <c r="D447" s="1" t="s">
        <v>26</v>
      </c>
      <c r="E447" s="1" t="s">
        <v>18</v>
      </c>
      <c r="F447" s="1" t="s">
        <v>61</v>
      </c>
      <c r="G447" s="1" t="s">
        <v>36</v>
      </c>
      <c r="H447">
        <v>238.39</v>
      </c>
      <c r="I447">
        <v>5</v>
      </c>
      <c r="J447">
        <v>1191.95</v>
      </c>
      <c r="K447" t="str">
        <f t="shared" si="6"/>
        <v>December</v>
      </c>
    </row>
    <row r="448" spans="1:11" x14ac:dyDescent="0.25">
      <c r="A448" s="1" t="s">
        <v>484</v>
      </c>
      <c r="B448" s="2">
        <v>45688</v>
      </c>
      <c r="C448" s="1" t="s">
        <v>17</v>
      </c>
      <c r="D448" s="1" t="s">
        <v>12</v>
      </c>
      <c r="E448" s="1" t="s">
        <v>18</v>
      </c>
      <c r="F448" s="1" t="s">
        <v>61</v>
      </c>
      <c r="G448" s="1" t="s">
        <v>20</v>
      </c>
      <c r="H448">
        <v>246.92</v>
      </c>
      <c r="I448">
        <v>20</v>
      </c>
      <c r="J448">
        <v>4938.3999999999996</v>
      </c>
      <c r="K448" t="str">
        <f t="shared" si="6"/>
        <v>January</v>
      </c>
    </row>
    <row r="449" spans="1:11" x14ac:dyDescent="0.25">
      <c r="A449" s="1" t="s">
        <v>485</v>
      </c>
      <c r="B449" s="2">
        <v>45907</v>
      </c>
      <c r="C449" s="1" t="s">
        <v>11</v>
      </c>
      <c r="D449" s="1" t="s">
        <v>55</v>
      </c>
      <c r="E449" s="1" t="s">
        <v>18</v>
      </c>
      <c r="F449" s="1" t="s">
        <v>61</v>
      </c>
      <c r="G449" s="1" t="s">
        <v>15</v>
      </c>
      <c r="H449">
        <v>195.74</v>
      </c>
      <c r="I449">
        <v>1</v>
      </c>
      <c r="J449">
        <v>195.74</v>
      </c>
      <c r="K449" t="str">
        <f t="shared" si="6"/>
        <v>September</v>
      </c>
    </row>
    <row r="450" spans="1:11" x14ac:dyDescent="0.25">
      <c r="A450" s="1" t="s">
        <v>486</v>
      </c>
      <c r="B450" s="2">
        <v>45666</v>
      </c>
      <c r="C450" s="1" t="s">
        <v>17</v>
      </c>
      <c r="D450" s="1" t="s">
        <v>35</v>
      </c>
      <c r="E450" s="1" t="s">
        <v>18</v>
      </c>
      <c r="F450" s="1" t="s">
        <v>32</v>
      </c>
      <c r="G450" s="1" t="s">
        <v>15</v>
      </c>
      <c r="H450">
        <v>112.78</v>
      </c>
      <c r="I450">
        <v>17</v>
      </c>
      <c r="J450">
        <v>1917.26</v>
      </c>
      <c r="K450" t="str">
        <f t="shared" ref="K450:K513" si="7">TEXT(B:B,"MMMM")</f>
        <v>January</v>
      </c>
    </row>
    <row r="451" spans="1:11" x14ac:dyDescent="0.25">
      <c r="A451" s="1" t="s">
        <v>487</v>
      </c>
      <c r="B451" s="2">
        <v>45915</v>
      </c>
      <c r="C451" s="1" t="s">
        <v>30</v>
      </c>
      <c r="D451" s="1" t="s">
        <v>22</v>
      </c>
      <c r="E451" s="1" t="s">
        <v>45</v>
      </c>
      <c r="F451" s="1" t="s">
        <v>42</v>
      </c>
      <c r="G451" s="1" t="s">
        <v>15</v>
      </c>
      <c r="H451">
        <v>48.37</v>
      </c>
      <c r="I451">
        <v>14</v>
      </c>
      <c r="J451">
        <v>677.18</v>
      </c>
      <c r="K451" t="str">
        <f t="shared" si="7"/>
        <v>September</v>
      </c>
    </row>
    <row r="452" spans="1:11" x14ac:dyDescent="0.25">
      <c r="A452" s="1" t="s">
        <v>488</v>
      </c>
      <c r="B452" s="2">
        <v>45781</v>
      </c>
      <c r="C452" s="1" t="s">
        <v>25</v>
      </c>
      <c r="D452" s="1" t="s">
        <v>55</v>
      </c>
      <c r="E452" s="1" t="s">
        <v>13</v>
      </c>
      <c r="F452" s="1" t="s">
        <v>39</v>
      </c>
      <c r="G452" s="1" t="s">
        <v>36</v>
      </c>
      <c r="H452">
        <v>200.97</v>
      </c>
      <c r="I452">
        <v>7</v>
      </c>
      <c r="J452">
        <v>1406.79</v>
      </c>
      <c r="K452" t="str">
        <f t="shared" si="7"/>
        <v>May</v>
      </c>
    </row>
    <row r="453" spans="1:11" x14ac:dyDescent="0.25">
      <c r="A453" s="1" t="s">
        <v>489</v>
      </c>
      <c r="B453" s="2">
        <v>45794</v>
      </c>
      <c r="C453" s="1" t="s">
        <v>11</v>
      </c>
      <c r="D453" s="1" t="s">
        <v>35</v>
      </c>
      <c r="E453" s="1" t="s">
        <v>41</v>
      </c>
      <c r="F453" s="1" t="s">
        <v>61</v>
      </c>
      <c r="G453" s="1" t="s">
        <v>20</v>
      </c>
      <c r="H453">
        <v>152.85</v>
      </c>
      <c r="I453">
        <v>13</v>
      </c>
      <c r="J453">
        <v>1987.05</v>
      </c>
      <c r="K453" t="str">
        <f t="shared" si="7"/>
        <v>May</v>
      </c>
    </row>
    <row r="454" spans="1:11" x14ac:dyDescent="0.25">
      <c r="A454" s="1" t="s">
        <v>490</v>
      </c>
      <c r="B454" s="2">
        <v>45782</v>
      </c>
      <c r="C454" s="1" t="s">
        <v>34</v>
      </c>
      <c r="D454" s="1" t="s">
        <v>12</v>
      </c>
      <c r="E454" s="1" t="s">
        <v>45</v>
      </c>
      <c r="F454" s="1" t="s">
        <v>28</v>
      </c>
      <c r="G454" s="1" t="s">
        <v>20</v>
      </c>
      <c r="H454">
        <v>123.33</v>
      </c>
      <c r="I454">
        <v>8</v>
      </c>
      <c r="J454">
        <v>986.64</v>
      </c>
      <c r="K454" t="str">
        <f t="shared" si="7"/>
        <v>May</v>
      </c>
    </row>
    <row r="455" spans="1:11" x14ac:dyDescent="0.25">
      <c r="A455" s="1" t="s">
        <v>491</v>
      </c>
      <c r="B455" s="2">
        <v>45674</v>
      </c>
      <c r="C455" s="1" t="s">
        <v>38</v>
      </c>
      <c r="D455" s="1" t="s">
        <v>31</v>
      </c>
      <c r="E455" s="1" t="s">
        <v>41</v>
      </c>
      <c r="F455" s="1" t="s">
        <v>42</v>
      </c>
      <c r="G455" s="1" t="s">
        <v>36</v>
      </c>
      <c r="H455">
        <v>229.4</v>
      </c>
      <c r="I455">
        <v>3</v>
      </c>
      <c r="J455">
        <v>688.2</v>
      </c>
      <c r="K455" t="str">
        <f t="shared" si="7"/>
        <v>January</v>
      </c>
    </row>
    <row r="456" spans="1:11" x14ac:dyDescent="0.25">
      <c r="A456" s="1" t="s">
        <v>492</v>
      </c>
      <c r="B456" s="2">
        <v>45686</v>
      </c>
      <c r="C456" s="1" t="s">
        <v>17</v>
      </c>
      <c r="D456" s="1" t="s">
        <v>26</v>
      </c>
      <c r="E456" s="1" t="s">
        <v>45</v>
      </c>
      <c r="F456" s="1" t="s">
        <v>61</v>
      </c>
      <c r="G456" s="1" t="s">
        <v>36</v>
      </c>
      <c r="H456">
        <v>54.46</v>
      </c>
      <c r="I456">
        <v>1</v>
      </c>
      <c r="J456">
        <v>54.46</v>
      </c>
      <c r="K456" t="str">
        <f t="shared" si="7"/>
        <v>January</v>
      </c>
    </row>
    <row r="457" spans="1:11" x14ac:dyDescent="0.25">
      <c r="A457" s="1" t="s">
        <v>493</v>
      </c>
      <c r="B457" s="2">
        <v>45988</v>
      </c>
      <c r="C457" s="1" t="s">
        <v>25</v>
      </c>
      <c r="D457" s="1" t="s">
        <v>22</v>
      </c>
      <c r="E457" s="1" t="s">
        <v>18</v>
      </c>
      <c r="F457" s="1" t="s">
        <v>19</v>
      </c>
      <c r="G457" s="1" t="s">
        <v>15</v>
      </c>
      <c r="H457">
        <v>138.38</v>
      </c>
      <c r="I457">
        <v>11</v>
      </c>
      <c r="J457">
        <v>1522.18</v>
      </c>
      <c r="K457" t="str">
        <f t="shared" si="7"/>
        <v>November</v>
      </c>
    </row>
    <row r="458" spans="1:11" x14ac:dyDescent="0.25">
      <c r="A458" s="1" t="s">
        <v>494</v>
      </c>
      <c r="B458" s="2">
        <v>45766</v>
      </c>
      <c r="C458" s="1" t="s">
        <v>38</v>
      </c>
      <c r="D458" s="1" t="s">
        <v>35</v>
      </c>
      <c r="E458" s="1" t="s">
        <v>45</v>
      </c>
      <c r="F458" s="1" t="s">
        <v>19</v>
      </c>
      <c r="G458" s="1" t="s">
        <v>20</v>
      </c>
      <c r="H458">
        <v>32.5</v>
      </c>
      <c r="I458">
        <v>19</v>
      </c>
      <c r="J458">
        <v>617.5</v>
      </c>
      <c r="K458" t="str">
        <f t="shared" si="7"/>
        <v>April</v>
      </c>
    </row>
    <row r="459" spans="1:11" x14ac:dyDescent="0.25">
      <c r="A459" s="1" t="s">
        <v>495</v>
      </c>
      <c r="B459" s="2">
        <v>45801</v>
      </c>
      <c r="C459" s="1" t="s">
        <v>25</v>
      </c>
      <c r="D459" s="1" t="s">
        <v>12</v>
      </c>
      <c r="E459" s="1" t="s">
        <v>45</v>
      </c>
      <c r="F459" s="1" t="s">
        <v>14</v>
      </c>
      <c r="G459" s="1" t="s">
        <v>36</v>
      </c>
      <c r="H459">
        <v>133.11000000000001</v>
      </c>
      <c r="I459">
        <v>18</v>
      </c>
      <c r="J459">
        <v>2395.98</v>
      </c>
      <c r="K459" t="str">
        <f t="shared" si="7"/>
        <v>May</v>
      </c>
    </row>
    <row r="460" spans="1:11" x14ac:dyDescent="0.25">
      <c r="A460" s="1" t="s">
        <v>496</v>
      </c>
      <c r="B460" s="2">
        <v>45666</v>
      </c>
      <c r="C460" s="1" t="s">
        <v>25</v>
      </c>
      <c r="D460" s="1" t="s">
        <v>26</v>
      </c>
      <c r="E460" s="1" t="s">
        <v>27</v>
      </c>
      <c r="F460" s="1" t="s">
        <v>39</v>
      </c>
      <c r="G460" s="1" t="s">
        <v>36</v>
      </c>
      <c r="H460">
        <v>42.39</v>
      </c>
      <c r="I460">
        <v>7</v>
      </c>
      <c r="J460">
        <v>296.73</v>
      </c>
      <c r="K460" t="str">
        <f t="shared" si="7"/>
        <v>January</v>
      </c>
    </row>
    <row r="461" spans="1:11" x14ac:dyDescent="0.25">
      <c r="A461" s="1" t="s">
        <v>497</v>
      </c>
      <c r="B461" s="2">
        <v>45697</v>
      </c>
      <c r="C461" s="1" t="s">
        <v>30</v>
      </c>
      <c r="D461" s="1" t="s">
        <v>55</v>
      </c>
      <c r="E461" s="1" t="s">
        <v>23</v>
      </c>
      <c r="F461" s="1" t="s">
        <v>42</v>
      </c>
      <c r="G461" s="1" t="s">
        <v>36</v>
      </c>
      <c r="H461">
        <v>56.14</v>
      </c>
      <c r="I461">
        <v>10</v>
      </c>
      <c r="J461">
        <v>561.4</v>
      </c>
      <c r="K461" t="str">
        <f t="shared" si="7"/>
        <v>February</v>
      </c>
    </row>
    <row r="462" spans="1:11" x14ac:dyDescent="0.25">
      <c r="A462" s="1" t="s">
        <v>498</v>
      </c>
      <c r="B462" s="2">
        <v>46004</v>
      </c>
      <c r="C462" s="1" t="s">
        <v>34</v>
      </c>
      <c r="D462" s="1" t="s">
        <v>31</v>
      </c>
      <c r="E462" s="1" t="s">
        <v>27</v>
      </c>
      <c r="F462" s="1" t="s">
        <v>14</v>
      </c>
      <c r="G462" s="1" t="s">
        <v>20</v>
      </c>
      <c r="H462">
        <v>55.86</v>
      </c>
      <c r="I462">
        <v>18</v>
      </c>
      <c r="J462">
        <v>1005.48</v>
      </c>
      <c r="K462" t="str">
        <f t="shared" si="7"/>
        <v>December</v>
      </c>
    </row>
    <row r="463" spans="1:11" x14ac:dyDescent="0.25">
      <c r="A463" s="1" t="s">
        <v>499</v>
      </c>
      <c r="B463" s="2">
        <v>45698</v>
      </c>
      <c r="C463" s="1" t="s">
        <v>17</v>
      </c>
      <c r="D463" s="1" t="s">
        <v>35</v>
      </c>
      <c r="E463" s="1" t="s">
        <v>45</v>
      </c>
      <c r="F463" s="1" t="s">
        <v>19</v>
      </c>
      <c r="G463" s="1" t="s">
        <v>36</v>
      </c>
      <c r="H463">
        <v>172.83</v>
      </c>
      <c r="I463">
        <v>17</v>
      </c>
      <c r="J463">
        <v>2938.11</v>
      </c>
      <c r="K463" t="str">
        <f t="shared" si="7"/>
        <v>February</v>
      </c>
    </row>
    <row r="464" spans="1:11" x14ac:dyDescent="0.25">
      <c r="A464" s="1" t="s">
        <v>500</v>
      </c>
      <c r="B464" s="2">
        <v>45776</v>
      </c>
      <c r="C464" s="1" t="s">
        <v>34</v>
      </c>
      <c r="D464" s="1" t="s">
        <v>55</v>
      </c>
      <c r="E464" s="1" t="s">
        <v>18</v>
      </c>
      <c r="F464" s="1" t="s">
        <v>42</v>
      </c>
      <c r="G464" s="1" t="s">
        <v>36</v>
      </c>
      <c r="H464">
        <v>194.13</v>
      </c>
      <c r="I464">
        <v>3</v>
      </c>
      <c r="J464">
        <v>582.39</v>
      </c>
      <c r="K464" t="str">
        <f t="shared" si="7"/>
        <v>April</v>
      </c>
    </row>
    <row r="465" spans="1:11" x14ac:dyDescent="0.25">
      <c r="A465" s="1" t="s">
        <v>501</v>
      </c>
      <c r="B465" s="2">
        <v>45825</v>
      </c>
      <c r="C465" s="1" t="s">
        <v>17</v>
      </c>
      <c r="D465" s="1" t="s">
        <v>35</v>
      </c>
      <c r="E465" s="1" t="s">
        <v>41</v>
      </c>
      <c r="F465" s="1" t="s">
        <v>61</v>
      </c>
      <c r="G465" s="1" t="s">
        <v>15</v>
      </c>
      <c r="H465">
        <v>158.34</v>
      </c>
      <c r="I465">
        <v>1</v>
      </c>
      <c r="J465">
        <v>158.34</v>
      </c>
      <c r="K465" t="str">
        <f t="shared" si="7"/>
        <v>June</v>
      </c>
    </row>
    <row r="466" spans="1:11" x14ac:dyDescent="0.25">
      <c r="A466" s="1" t="s">
        <v>502</v>
      </c>
      <c r="B466" s="2">
        <v>45840</v>
      </c>
      <c r="C466" s="1" t="s">
        <v>38</v>
      </c>
      <c r="D466" s="1" t="s">
        <v>31</v>
      </c>
      <c r="E466" s="1" t="s">
        <v>23</v>
      </c>
      <c r="F466" s="1" t="s">
        <v>28</v>
      </c>
      <c r="G466" s="1" t="s">
        <v>20</v>
      </c>
      <c r="H466">
        <v>241.68</v>
      </c>
      <c r="I466">
        <v>18</v>
      </c>
      <c r="J466">
        <v>4350.24</v>
      </c>
      <c r="K466" t="str">
        <f t="shared" si="7"/>
        <v>July</v>
      </c>
    </row>
    <row r="467" spans="1:11" x14ac:dyDescent="0.25">
      <c r="A467" s="1" t="s">
        <v>503</v>
      </c>
      <c r="B467" s="2">
        <v>45996</v>
      </c>
      <c r="C467" s="1" t="s">
        <v>11</v>
      </c>
      <c r="D467" s="1" t="s">
        <v>55</v>
      </c>
      <c r="E467" s="1" t="s">
        <v>13</v>
      </c>
      <c r="F467" s="1" t="s">
        <v>39</v>
      </c>
      <c r="G467" s="1" t="s">
        <v>15</v>
      </c>
      <c r="H467">
        <v>112.47</v>
      </c>
      <c r="I467">
        <v>13</v>
      </c>
      <c r="J467">
        <v>1462.11</v>
      </c>
      <c r="K467" t="str">
        <f t="shared" si="7"/>
        <v>December</v>
      </c>
    </row>
    <row r="468" spans="1:11" x14ac:dyDescent="0.25">
      <c r="A468" s="1" t="s">
        <v>504</v>
      </c>
      <c r="B468" s="2">
        <v>45695</v>
      </c>
      <c r="C468" s="1" t="s">
        <v>34</v>
      </c>
      <c r="D468" s="1" t="s">
        <v>26</v>
      </c>
      <c r="E468" s="1" t="s">
        <v>41</v>
      </c>
      <c r="F468" s="1" t="s">
        <v>28</v>
      </c>
      <c r="G468" s="1" t="s">
        <v>20</v>
      </c>
      <c r="H468">
        <v>92.86</v>
      </c>
      <c r="I468">
        <v>3</v>
      </c>
      <c r="J468">
        <v>278.58</v>
      </c>
      <c r="K468" t="str">
        <f t="shared" si="7"/>
        <v>February</v>
      </c>
    </row>
    <row r="469" spans="1:11" x14ac:dyDescent="0.25">
      <c r="A469" s="1" t="s">
        <v>505</v>
      </c>
      <c r="B469" s="2">
        <v>45736</v>
      </c>
      <c r="C469" s="1" t="s">
        <v>34</v>
      </c>
      <c r="D469" s="1" t="s">
        <v>35</v>
      </c>
      <c r="E469" s="1" t="s">
        <v>45</v>
      </c>
      <c r="F469" s="1" t="s">
        <v>19</v>
      </c>
      <c r="G469" s="1" t="s">
        <v>15</v>
      </c>
      <c r="H469">
        <v>221.09</v>
      </c>
      <c r="I469">
        <v>13</v>
      </c>
      <c r="J469">
        <v>2874.17</v>
      </c>
      <c r="K469" t="str">
        <f t="shared" si="7"/>
        <v>March</v>
      </c>
    </row>
    <row r="470" spans="1:11" x14ac:dyDescent="0.25">
      <c r="A470" s="1" t="s">
        <v>506</v>
      </c>
      <c r="B470" s="2">
        <v>45815</v>
      </c>
      <c r="C470" s="1" t="s">
        <v>34</v>
      </c>
      <c r="D470" s="1" t="s">
        <v>35</v>
      </c>
      <c r="E470" s="1" t="s">
        <v>45</v>
      </c>
      <c r="F470" s="1" t="s">
        <v>14</v>
      </c>
      <c r="G470" s="1" t="s">
        <v>15</v>
      </c>
      <c r="H470">
        <v>79.19</v>
      </c>
      <c r="I470">
        <v>15</v>
      </c>
      <c r="J470">
        <v>1187.8499999999999</v>
      </c>
      <c r="K470" t="str">
        <f t="shared" si="7"/>
        <v>June</v>
      </c>
    </row>
    <row r="471" spans="1:11" x14ac:dyDescent="0.25">
      <c r="A471" s="1" t="s">
        <v>507</v>
      </c>
      <c r="B471" s="2">
        <v>45753</v>
      </c>
      <c r="C471" s="1" t="s">
        <v>38</v>
      </c>
      <c r="D471" s="1" t="s">
        <v>55</v>
      </c>
      <c r="E471" s="1" t="s">
        <v>18</v>
      </c>
      <c r="F471" s="1" t="s">
        <v>42</v>
      </c>
      <c r="G471" s="1" t="s">
        <v>36</v>
      </c>
      <c r="H471">
        <v>241.91</v>
      </c>
      <c r="I471">
        <v>14</v>
      </c>
      <c r="J471">
        <v>3386.74</v>
      </c>
      <c r="K471" t="str">
        <f t="shared" si="7"/>
        <v>April</v>
      </c>
    </row>
    <row r="472" spans="1:11" x14ac:dyDescent="0.25">
      <c r="A472" s="1" t="s">
        <v>508</v>
      </c>
      <c r="B472" s="2">
        <v>45710</v>
      </c>
      <c r="C472" s="1" t="s">
        <v>11</v>
      </c>
      <c r="D472" s="1" t="s">
        <v>35</v>
      </c>
      <c r="E472" s="1" t="s">
        <v>18</v>
      </c>
      <c r="F472" s="1" t="s">
        <v>19</v>
      </c>
      <c r="G472" s="1" t="s">
        <v>20</v>
      </c>
      <c r="H472">
        <v>32.67</v>
      </c>
      <c r="I472">
        <v>1</v>
      </c>
      <c r="J472">
        <v>32.67</v>
      </c>
      <c r="K472" t="str">
        <f t="shared" si="7"/>
        <v>February</v>
      </c>
    </row>
    <row r="473" spans="1:11" x14ac:dyDescent="0.25">
      <c r="A473" s="1" t="s">
        <v>509</v>
      </c>
      <c r="B473" s="2">
        <v>45964</v>
      </c>
      <c r="C473" s="1" t="s">
        <v>38</v>
      </c>
      <c r="D473" s="1" t="s">
        <v>22</v>
      </c>
      <c r="E473" s="1" t="s">
        <v>13</v>
      </c>
      <c r="F473" s="1" t="s">
        <v>61</v>
      </c>
      <c r="G473" s="1" t="s">
        <v>36</v>
      </c>
      <c r="H473">
        <v>243.37</v>
      </c>
      <c r="I473">
        <v>11</v>
      </c>
      <c r="J473">
        <v>2677.07</v>
      </c>
      <c r="K473" t="str">
        <f t="shared" si="7"/>
        <v>November</v>
      </c>
    </row>
    <row r="474" spans="1:11" x14ac:dyDescent="0.25">
      <c r="A474" s="1" t="s">
        <v>510</v>
      </c>
      <c r="B474" s="2">
        <v>45701</v>
      </c>
      <c r="C474" s="1" t="s">
        <v>30</v>
      </c>
      <c r="D474" s="1" t="s">
        <v>55</v>
      </c>
      <c r="E474" s="1" t="s">
        <v>18</v>
      </c>
      <c r="F474" s="1" t="s">
        <v>14</v>
      </c>
      <c r="G474" s="1" t="s">
        <v>20</v>
      </c>
      <c r="H474">
        <v>39.5</v>
      </c>
      <c r="I474">
        <v>18</v>
      </c>
      <c r="J474">
        <v>711</v>
      </c>
      <c r="K474" t="str">
        <f t="shared" si="7"/>
        <v>February</v>
      </c>
    </row>
    <row r="475" spans="1:11" x14ac:dyDescent="0.25">
      <c r="A475" s="1" t="s">
        <v>511</v>
      </c>
      <c r="B475" s="2">
        <v>45852</v>
      </c>
      <c r="C475" s="1" t="s">
        <v>30</v>
      </c>
      <c r="D475" s="1" t="s">
        <v>35</v>
      </c>
      <c r="E475" s="1" t="s">
        <v>13</v>
      </c>
      <c r="F475" s="1" t="s">
        <v>32</v>
      </c>
      <c r="G475" s="1" t="s">
        <v>36</v>
      </c>
      <c r="H475">
        <v>226.05</v>
      </c>
      <c r="I475">
        <v>6</v>
      </c>
      <c r="J475">
        <v>1356.3</v>
      </c>
      <c r="K475" t="str">
        <f t="shared" si="7"/>
        <v>July</v>
      </c>
    </row>
    <row r="476" spans="1:11" x14ac:dyDescent="0.25">
      <c r="A476" s="1" t="s">
        <v>512</v>
      </c>
      <c r="B476" s="2">
        <v>45732</v>
      </c>
      <c r="C476" s="1" t="s">
        <v>30</v>
      </c>
      <c r="D476" s="1" t="s">
        <v>31</v>
      </c>
      <c r="E476" s="1" t="s">
        <v>13</v>
      </c>
      <c r="F476" s="1" t="s">
        <v>61</v>
      </c>
      <c r="G476" s="1" t="s">
        <v>36</v>
      </c>
      <c r="H476">
        <v>146.09</v>
      </c>
      <c r="I476">
        <v>3</v>
      </c>
      <c r="J476">
        <v>438.27</v>
      </c>
      <c r="K476" t="str">
        <f t="shared" si="7"/>
        <v>March</v>
      </c>
    </row>
    <row r="477" spans="1:11" x14ac:dyDescent="0.25">
      <c r="A477" s="1" t="s">
        <v>513</v>
      </c>
      <c r="B477" s="2">
        <v>45905</v>
      </c>
      <c r="C477" s="1" t="s">
        <v>34</v>
      </c>
      <c r="D477" s="1" t="s">
        <v>35</v>
      </c>
      <c r="E477" s="1" t="s">
        <v>23</v>
      </c>
      <c r="F477" s="1" t="s">
        <v>28</v>
      </c>
      <c r="G477" s="1" t="s">
        <v>20</v>
      </c>
      <c r="H477">
        <v>248.45</v>
      </c>
      <c r="I477">
        <v>3</v>
      </c>
      <c r="J477">
        <v>745.35</v>
      </c>
      <c r="K477" t="str">
        <f t="shared" si="7"/>
        <v>September</v>
      </c>
    </row>
    <row r="478" spans="1:11" x14ac:dyDescent="0.25">
      <c r="A478" s="1" t="s">
        <v>514</v>
      </c>
      <c r="B478" s="2">
        <v>45911</v>
      </c>
      <c r="C478" s="1" t="s">
        <v>25</v>
      </c>
      <c r="D478" s="1" t="s">
        <v>26</v>
      </c>
      <c r="E478" s="1" t="s">
        <v>41</v>
      </c>
      <c r="F478" s="1" t="s">
        <v>19</v>
      </c>
      <c r="G478" s="1" t="s">
        <v>15</v>
      </c>
      <c r="H478">
        <v>46.24</v>
      </c>
      <c r="I478">
        <v>20</v>
      </c>
      <c r="J478">
        <v>924.8</v>
      </c>
      <c r="K478" t="str">
        <f t="shared" si="7"/>
        <v>September</v>
      </c>
    </row>
    <row r="479" spans="1:11" x14ac:dyDescent="0.25">
      <c r="A479" s="1" t="s">
        <v>515</v>
      </c>
      <c r="B479" s="2">
        <v>45813</v>
      </c>
      <c r="C479" s="1" t="s">
        <v>38</v>
      </c>
      <c r="D479" s="1" t="s">
        <v>35</v>
      </c>
      <c r="E479" s="1" t="s">
        <v>18</v>
      </c>
      <c r="F479" s="1" t="s">
        <v>61</v>
      </c>
      <c r="G479" s="1" t="s">
        <v>36</v>
      </c>
      <c r="H479">
        <v>151.85</v>
      </c>
      <c r="I479">
        <v>1</v>
      </c>
      <c r="J479">
        <v>151.85</v>
      </c>
      <c r="K479" t="str">
        <f t="shared" si="7"/>
        <v>June</v>
      </c>
    </row>
    <row r="480" spans="1:11" x14ac:dyDescent="0.25">
      <c r="A480" s="1" t="s">
        <v>516</v>
      </c>
      <c r="B480" s="2">
        <v>45883</v>
      </c>
      <c r="C480" s="1" t="s">
        <v>38</v>
      </c>
      <c r="D480" s="1" t="s">
        <v>12</v>
      </c>
      <c r="E480" s="1" t="s">
        <v>18</v>
      </c>
      <c r="F480" s="1" t="s">
        <v>14</v>
      </c>
      <c r="G480" s="1" t="s">
        <v>36</v>
      </c>
      <c r="H480">
        <v>243.25</v>
      </c>
      <c r="I480">
        <v>11</v>
      </c>
      <c r="J480">
        <v>2675.75</v>
      </c>
      <c r="K480" t="str">
        <f t="shared" si="7"/>
        <v>August</v>
      </c>
    </row>
    <row r="481" spans="1:11" x14ac:dyDescent="0.25">
      <c r="A481" s="1" t="s">
        <v>517</v>
      </c>
      <c r="B481" s="2">
        <v>45822</v>
      </c>
      <c r="C481" s="1" t="s">
        <v>17</v>
      </c>
      <c r="D481" s="1" t="s">
        <v>26</v>
      </c>
      <c r="E481" s="1" t="s">
        <v>41</v>
      </c>
      <c r="F481" s="1" t="s">
        <v>32</v>
      </c>
      <c r="G481" s="1" t="s">
        <v>15</v>
      </c>
      <c r="H481">
        <v>145.08000000000001</v>
      </c>
      <c r="I481">
        <v>20</v>
      </c>
      <c r="J481">
        <v>2901.6</v>
      </c>
      <c r="K481" t="str">
        <f t="shared" si="7"/>
        <v>June</v>
      </c>
    </row>
    <row r="482" spans="1:11" x14ac:dyDescent="0.25">
      <c r="A482" s="1" t="s">
        <v>518</v>
      </c>
      <c r="B482" s="2">
        <v>45861</v>
      </c>
      <c r="C482" s="1" t="s">
        <v>34</v>
      </c>
      <c r="D482" s="1" t="s">
        <v>12</v>
      </c>
      <c r="E482" s="1" t="s">
        <v>27</v>
      </c>
      <c r="F482" s="1" t="s">
        <v>28</v>
      </c>
      <c r="G482" s="1" t="s">
        <v>36</v>
      </c>
      <c r="H482">
        <v>168.47</v>
      </c>
      <c r="I482">
        <v>11</v>
      </c>
      <c r="J482">
        <v>1853.17</v>
      </c>
      <c r="K482" t="str">
        <f t="shared" si="7"/>
        <v>July</v>
      </c>
    </row>
    <row r="483" spans="1:11" x14ac:dyDescent="0.25">
      <c r="A483" s="1" t="s">
        <v>519</v>
      </c>
      <c r="B483" s="2">
        <v>45952</v>
      </c>
      <c r="C483" s="1" t="s">
        <v>34</v>
      </c>
      <c r="D483" s="1" t="s">
        <v>31</v>
      </c>
      <c r="E483" s="1" t="s">
        <v>13</v>
      </c>
      <c r="F483" s="1" t="s">
        <v>39</v>
      </c>
      <c r="G483" s="1" t="s">
        <v>36</v>
      </c>
      <c r="H483">
        <v>183.06</v>
      </c>
      <c r="I483">
        <v>8</v>
      </c>
      <c r="J483">
        <v>1464.48</v>
      </c>
      <c r="K483" t="str">
        <f t="shared" si="7"/>
        <v>October</v>
      </c>
    </row>
    <row r="484" spans="1:11" x14ac:dyDescent="0.25">
      <c r="A484" s="1" t="s">
        <v>520</v>
      </c>
      <c r="B484" s="2">
        <v>45844</v>
      </c>
      <c r="C484" s="1" t="s">
        <v>25</v>
      </c>
      <c r="D484" s="1" t="s">
        <v>26</v>
      </c>
      <c r="E484" s="1" t="s">
        <v>18</v>
      </c>
      <c r="F484" s="1" t="s">
        <v>42</v>
      </c>
      <c r="G484" s="1" t="s">
        <v>15</v>
      </c>
      <c r="H484">
        <v>130</v>
      </c>
      <c r="I484">
        <v>4</v>
      </c>
      <c r="J484">
        <v>520</v>
      </c>
      <c r="K484" t="str">
        <f t="shared" si="7"/>
        <v>July</v>
      </c>
    </row>
    <row r="485" spans="1:11" x14ac:dyDescent="0.25">
      <c r="A485" s="1" t="s">
        <v>521</v>
      </c>
      <c r="B485" s="2">
        <v>46007</v>
      </c>
      <c r="C485" s="1" t="s">
        <v>11</v>
      </c>
      <c r="D485" s="1" t="s">
        <v>12</v>
      </c>
      <c r="E485" s="1" t="s">
        <v>41</v>
      </c>
      <c r="F485" s="1" t="s">
        <v>28</v>
      </c>
      <c r="G485" s="1" t="s">
        <v>15</v>
      </c>
      <c r="H485">
        <v>168.06</v>
      </c>
      <c r="I485">
        <v>18</v>
      </c>
      <c r="J485">
        <v>3025.08</v>
      </c>
      <c r="K485" t="str">
        <f t="shared" si="7"/>
        <v>December</v>
      </c>
    </row>
    <row r="486" spans="1:11" x14ac:dyDescent="0.25">
      <c r="A486" s="1" t="s">
        <v>522</v>
      </c>
      <c r="B486" s="2">
        <v>45882</v>
      </c>
      <c r="C486" s="1" t="s">
        <v>17</v>
      </c>
      <c r="D486" s="1" t="s">
        <v>22</v>
      </c>
      <c r="E486" s="1" t="s">
        <v>41</v>
      </c>
      <c r="F486" s="1" t="s">
        <v>28</v>
      </c>
      <c r="G486" s="1" t="s">
        <v>36</v>
      </c>
      <c r="H486">
        <v>158.55000000000001</v>
      </c>
      <c r="I486">
        <v>10</v>
      </c>
      <c r="J486">
        <v>1585.5</v>
      </c>
      <c r="K486" t="str">
        <f t="shared" si="7"/>
        <v>August</v>
      </c>
    </row>
    <row r="487" spans="1:11" x14ac:dyDescent="0.25">
      <c r="A487" s="1" t="s">
        <v>523</v>
      </c>
      <c r="B487" s="2">
        <v>45729</v>
      </c>
      <c r="C487" s="1" t="s">
        <v>30</v>
      </c>
      <c r="D487" s="1" t="s">
        <v>35</v>
      </c>
      <c r="E487" s="1" t="s">
        <v>27</v>
      </c>
      <c r="F487" s="1" t="s">
        <v>14</v>
      </c>
      <c r="G487" s="1" t="s">
        <v>20</v>
      </c>
      <c r="H487">
        <v>228.25</v>
      </c>
      <c r="I487">
        <v>10</v>
      </c>
      <c r="J487">
        <v>2282.5</v>
      </c>
      <c r="K487" t="str">
        <f t="shared" si="7"/>
        <v>March</v>
      </c>
    </row>
    <row r="488" spans="1:11" x14ac:dyDescent="0.25">
      <c r="A488" s="1" t="s">
        <v>524</v>
      </c>
      <c r="B488" s="2">
        <v>45874</v>
      </c>
      <c r="C488" s="1" t="s">
        <v>11</v>
      </c>
      <c r="D488" s="1" t="s">
        <v>31</v>
      </c>
      <c r="E488" s="1" t="s">
        <v>18</v>
      </c>
      <c r="F488" s="1" t="s">
        <v>61</v>
      </c>
      <c r="G488" s="1" t="s">
        <v>20</v>
      </c>
      <c r="H488">
        <v>40</v>
      </c>
      <c r="I488">
        <v>13</v>
      </c>
      <c r="J488">
        <v>520</v>
      </c>
      <c r="K488" t="str">
        <f t="shared" si="7"/>
        <v>August</v>
      </c>
    </row>
    <row r="489" spans="1:11" x14ac:dyDescent="0.25">
      <c r="A489" s="1" t="s">
        <v>525</v>
      </c>
      <c r="B489" s="2">
        <v>45863</v>
      </c>
      <c r="C489" s="1" t="s">
        <v>25</v>
      </c>
      <c r="D489" s="1" t="s">
        <v>12</v>
      </c>
      <c r="E489" s="1" t="s">
        <v>41</v>
      </c>
      <c r="F489" s="1" t="s">
        <v>42</v>
      </c>
      <c r="G489" s="1" t="s">
        <v>15</v>
      </c>
      <c r="H489">
        <v>91.81</v>
      </c>
      <c r="I489">
        <v>18</v>
      </c>
      <c r="J489">
        <v>1652.58</v>
      </c>
      <c r="K489" t="str">
        <f t="shared" si="7"/>
        <v>July</v>
      </c>
    </row>
    <row r="490" spans="1:11" x14ac:dyDescent="0.25">
      <c r="A490" s="1" t="s">
        <v>526</v>
      </c>
      <c r="B490" s="2">
        <v>45842</v>
      </c>
      <c r="C490" s="1" t="s">
        <v>25</v>
      </c>
      <c r="D490" s="1" t="s">
        <v>12</v>
      </c>
      <c r="E490" s="1" t="s">
        <v>45</v>
      </c>
      <c r="F490" s="1" t="s">
        <v>19</v>
      </c>
      <c r="G490" s="1" t="s">
        <v>15</v>
      </c>
      <c r="H490">
        <v>239.09</v>
      </c>
      <c r="I490">
        <v>18</v>
      </c>
      <c r="J490">
        <v>4303.62</v>
      </c>
      <c r="K490" t="str">
        <f t="shared" si="7"/>
        <v>July</v>
      </c>
    </row>
    <row r="491" spans="1:11" x14ac:dyDescent="0.25">
      <c r="A491" s="1" t="s">
        <v>527</v>
      </c>
      <c r="B491" s="2">
        <v>45994</v>
      </c>
      <c r="C491" s="1" t="s">
        <v>30</v>
      </c>
      <c r="D491" s="1" t="s">
        <v>12</v>
      </c>
      <c r="E491" s="1" t="s">
        <v>18</v>
      </c>
      <c r="F491" s="1" t="s">
        <v>19</v>
      </c>
      <c r="G491" s="1" t="s">
        <v>20</v>
      </c>
      <c r="H491">
        <v>225.86</v>
      </c>
      <c r="I491">
        <v>12</v>
      </c>
      <c r="J491">
        <v>2710.32</v>
      </c>
      <c r="K491" t="str">
        <f t="shared" si="7"/>
        <v>December</v>
      </c>
    </row>
    <row r="492" spans="1:11" x14ac:dyDescent="0.25">
      <c r="A492" s="1" t="s">
        <v>528</v>
      </c>
      <c r="B492" s="2">
        <v>45988</v>
      </c>
      <c r="C492" s="1" t="s">
        <v>34</v>
      </c>
      <c r="D492" s="1" t="s">
        <v>31</v>
      </c>
      <c r="E492" s="1" t="s">
        <v>45</v>
      </c>
      <c r="F492" s="1" t="s">
        <v>19</v>
      </c>
      <c r="G492" s="1" t="s">
        <v>15</v>
      </c>
      <c r="H492">
        <v>130.24</v>
      </c>
      <c r="I492">
        <v>13</v>
      </c>
      <c r="J492">
        <v>1693.12</v>
      </c>
      <c r="K492" t="str">
        <f t="shared" si="7"/>
        <v>November</v>
      </c>
    </row>
    <row r="493" spans="1:11" x14ac:dyDescent="0.25">
      <c r="A493" s="1" t="s">
        <v>529</v>
      </c>
      <c r="B493" s="2">
        <v>45790</v>
      </c>
      <c r="C493" s="1" t="s">
        <v>25</v>
      </c>
      <c r="D493" s="1" t="s">
        <v>12</v>
      </c>
      <c r="E493" s="1" t="s">
        <v>18</v>
      </c>
      <c r="F493" s="1" t="s">
        <v>42</v>
      </c>
      <c r="G493" s="1" t="s">
        <v>20</v>
      </c>
      <c r="H493">
        <v>166.43</v>
      </c>
      <c r="I493">
        <v>8</v>
      </c>
      <c r="J493">
        <v>1331.44</v>
      </c>
      <c r="K493" t="str">
        <f t="shared" si="7"/>
        <v>May</v>
      </c>
    </row>
    <row r="494" spans="1:11" x14ac:dyDescent="0.25">
      <c r="A494" s="1" t="s">
        <v>530</v>
      </c>
      <c r="B494" s="2">
        <v>46010</v>
      </c>
      <c r="C494" s="1" t="s">
        <v>30</v>
      </c>
      <c r="D494" s="1" t="s">
        <v>31</v>
      </c>
      <c r="E494" s="1" t="s">
        <v>13</v>
      </c>
      <c r="F494" s="1" t="s">
        <v>61</v>
      </c>
      <c r="G494" s="1" t="s">
        <v>36</v>
      </c>
      <c r="H494">
        <v>91.02</v>
      </c>
      <c r="I494">
        <v>19</v>
      </c>
      <c r="J494">
        <v>1729.38</v>
      </c>
      <c r="K494" t="str">
        <f t="shared" si="7"/>
        <v>December</v>
      </c>
    </row>
    <row r="495" spans="1:11" x14ac:dyDescent="0.25">
      <c r="A495" s="1" t="s">
        <v>531</v>
      </c>
      <c r="B495" s="2">
        <v>46005</v>
      </c>
      <c r="C495" s="1" t="s">
        <v>17</v>
      </c>
      <c r="D495" s="1" t="s">
        <v>55</v>
      </c>
      <c r="E495" s="1" t="s">
        <v>23</v>
      </c>
      <c r="F495" s="1" t="s">
        <v>32</v>
      </c>
      <c r="G495" s="1" t="s">
        <v>15</v>
      </c>
      <c r="H495">
        <v>71.39</v>
      </c>
      <c r="I495">
        <v>19</v>
      </c>
      <c r="J495">
        <v>1356.41</v>
      </c>
      <c r="K495" t="str">
        <f t="shared" si="7"/>
        <v>December</v>
      </c>
    </row>
    <row r="496" spans="1:11" x14ac:dyDescent="0.25">
      <c r="A496" s="1" t="s">
        <v>532</v>
      </c>
      <c r="B496" s="2">
        <v>45905</v>
      </c>
      <c r="C496" s="1" t="s">
        <v>34</v>
      </c>
      <c r="D496" s="1" t="s">
        <v>31</v>
      </c>
      <c r="E496" s="1" t="s">
        <v>45</v>
      </c>
      <c r="F496" s="1" t="s">
        <v>19</v>
      </c>
      <c r="G496" s="1" t="s">
        <v>20</v>
      </c>
      <c r="H496">
        <v>132.01</v>
      </c>
      <c r="I496">
        <v>4</v>
      </c>
      <c r="J496">
        <v>528.04</v>
      </c>
      <c r="K496" t="str">
        <f t="shared" si="7"/>
        <v>September</v>
      </c>
    </row>
    <row r="497" spans="1:11" x14ac:dyDescent="0.25">
      <c r="A497" s="1" t="s">
        <v>533</v>
      </c>
      <c r="B497" s="2">
        <v>45730</v>
      </c>
      <c r="C497" s="1" t="s">
        <v>34</v>
      </c>
      <c r="D497" s="1" t="s">
        <v>35</v>
      </c>
      <c r="E497" s="1" t="s">
        <v>41</v>
      </c>
      <c r="F497" s="1" t="s">
        <v>39</v>
      </c>
      <c r="G497" s="1" t="s">
        <v>15</v>
      </c>
      <c r="H497">
        <v>107.74</v>
      </c>
      <c r="I497">
        <v>12</v>
      </c>
      <c r="J497">
        <v>1292.8800000000001</v>
      </c>
      <c r="K497" t="str">
        <f t="shared" si="7"/>
        <v>March</v>
      </c>
    </row>
    <row r="498" spans="1:11" x14ac:dyDescent="0.25">
      <c r="A498" s="1" t="s">
        <v>534</v>
      </c>
      <c r="B498" s="2">
        <v>45924</v>
      </c>
      <c r="C498" s="1" t="s">
        <v>34</v>
      </c>
      <c r="D498" s="1" t="s">
        <v>31</v>
      </c>
      <c r="E498" s="1" t="s">
        <v>45</v>
      </c>
      <c r="F498" s="1" t="s">
        <v>61</v>
      </c>
      <c r="G498" s="1" t="s">
        <v>20</v>
      </c>
      <c r="H498">
        <v>158.4</v>
      </c>
      <c r="I498">
        <v>16</v>
      </c>
      <c r="J498">
        <v>2534.4</v>
      </c>
      <c r="K498" t="str">
        <f t="shared" si="7"/>
        <v>September</v>
      </c>
    </row>
    <row r="499" spans="1:11" x14ac:dyDescent="0.25">
      <c r="A499" s="1" t="s">
        <v>535</v>
      </c>
      <c r="B499" s="2">
        <v>46014</v>
      </c>
      <c r="C499" s="1" t="s">
        <v>34</v>
      </c>
      <c r="D499" s="1" t="s">
        <v>22</v>
      </c>
      <c r="E499" s="1" t="s">
        <v>13</v>
      </c>
      <c r="F499" s="1" t="s">
        <v>19</v>
      </c>
      <c r="G499" s="1" t="s">
        <v>20</v>
      </c>
      <c r="H499">
        <v>47.1</v>
      </c>
      <c r="I499">
        <v>15</v>
      </c>
      <c r="J499">
        <v>706.5</v>
      </c>
      <c r="K499" t="str">
        <f t="shared" si="7"/>
        <v>December</v>
      </c>
    </row>
    <row r="500" spans="1:11" x14ac:dyDescent="0.25">
      <c r="A500" s="1" t="s">
        <v>536</v>
      </c>
      <c r="B500" s="2">
        <v>45716</v>
      </c>
      <c r="C500" s="1" t="s">
        <v>34</v>
      </c>
      <c r="D500" s="1" t="s">
        <v>12</v>
      </c>
      <c r="E500" s="1" t="s">
        <v>45</v>
      </c>
      <c r="F500" s="1" t="s">
        <v>28</v>
      </c>
      <c r="G500" s="1" t="s">
        <v>15</v>
      </c>
      <c r="H500">
        <v>244.37</v>
      </c>
      <c r="I500">
        <v>1</v>
      </c>
      <c r="J500">
        <v>244.37</v>
      </c>
      <c r="K500" t="str">
        <f t="shared" si="7"/>
        <v>February</v>
      </c>
    </row>
    <row r="501" spans="1:11" x14ac:dyDescent="0.25">
      <c r="A501" s="1" t="s">
        <v>537</v>
      </c>
      <c r="B501" s="2">
        <v>45782</v>
      </c>
      <c r="C501" s="1" t="s">
        <v>30</v>
      </c>
      <c r="D501" s="1" t="s">
        <v>55</v>
      </c>
      <c r="E501" s="1" t="s">
        <v>23</v>
      </c>
      <c r="F501" s="1" t="s">
        <v>32</v>
      </c>
      <c r="G501" s="1" t="s">
        <v>20</v>
      </c>
      <c r="H501">
        <v>246.97</v>
      </c>
      <c r="I501">
        <v>17</v>
      </c>
      <c r="J501">
        <v>4198.49</v>
      </c>
      <c r="K501" t="str">
        <f t="shared" si="7"/>
        <v>May</v>
      </c>
    </row>
    <row r="502" spans="1:11" x14ac:dyDescent="0.25">
      <c r="A502" s="1" t="s">
        <v>538</v>
      </c>
      <c r="B502" s="2">
        <v>45876</v>
      </c>
      <c r="C502" s="1" t="s">
        <v>30</v>
      </c>
      <c r="D502" s="1" t="s">
        <v>31</v>
      </c>
      <c r="E502" s="1" t="s">
        <v>27</v>
      </c>
      <c r="F502" s="1" t="s">
        <v>14</v>
      </c>
      <c r="G502" s="1" t="s">
        <v>15</v>
      </c>
      <c r="H502">
        <v>183.6</v>
      </c>
      <c r="I502">
        <v>15</v>
      </c>
      <c r="J502">
        <v>2754</v>
      </c>
      <c r="K502" t="str">
        <f t="shared" si="7"/>
        <v>August</v>
      </c>
    </row>
    <row r="503" spans="1:11" x14ac:dyDescent="0.25">
      <c r="A503" s="1" t="s">
        <v>539</v>
      </c>
      <c r="B503" s="2">
        <v>45985</v>
      </c>
      <c r="C503" s="1" t="s">
        <v>38</v>
      </c>
      <c r="D503" s="1" t="s">
        <v>22</v>
      </c>
      <c r="E503" s="1" t="s">
        <v>27</v>
      </c>
      <c r="F503" s="1" t="s">
        <v>42</v>
      </c>
      <c r="G503" s="1" t="s">
        <v>15</v>
      </c>
      <c r="H503">
        <v>147.94</v>
      </c>
      <c r="I503">
        <v>14</v>
      </c>
      <c r="J503">
        <v>2071.16</v>
      </c>
      <c r="K503" t="str">
        <f t="shared" si="7"/>
        <v>November</v>
      </c>
    </row>
    <row r="504" spans="1:11" x14ac:dyDescent="0.25">
      <c r="A504" s="1" t="s">
        <v>540</v>
      </c>
      <c r="B504" s="2">
        <v>45888</v>
      </c>
      <c r="C504" s="1" t="s">
        <v>38</v>
      </c>
      <c r="D504" s="1" t="s">
        <v>31</v>
      </c>
      <c r="E504" s="1" t="s">
        <v>45</v>
      </c>
      <c r="F504" s="1" t="s">
        <v>28</v>
      </c>
      <c r="G504" s="1" t="s">
        <v>15</v>
      </c>
      <c r="H504">
        <v>98.1</v>
      </c>
      <c r="I504">
        <v>19</v>
      </c>
      <c r="J504">
        <v>1863.9</v>
      </c>
      <c r="K504" t="str">
        <f t="shared" si="7"/>
        <v>August</v>
      </c>
    </row>
    <row r="505" spans="1:11" x14ac:dyDescent="0.25">
      <c r="A505" s="1" t="s">
        <v>541</v>
      </c>
      <c r="B505" s="2">
        <v>45763</v>
      </c>
      <c r="C505" s="1" t="s">
        <v>17</v>
      </c>
      <c r="D505" s="1" t="s">
        <v>22</v>
      </c>
      <c r="E505" s="1" t="s">
        <v>18</v>
      </c>
      <c r="F505" s="1" t="s">
        <v>19</v>
      </c>
      <c r="G505" s="1" t="s">
        <v>20</v>
      </c>
      <c r="H505">
        <v>209.03</v>
      </c>
      <c r="I505">
        <v>9</v>
      </c>
      <c r="J505">
        <v>1881.27</v>
      </c>
      <c r="K505" t="str">
        <f t="shared" si="7"/>
        <v>April</v>
      </c>
    </row>
    <row r="506" spans="1:11" x14ac:dyDescent="0.25">
      <c r="A506" s="1" t="s">
        <v>542</v>
      </c>
      <c r="B506" s="2">
        <v>45753</v>
      </c>
      <c r="C506" s="1" t="s">
        <v>34</v>
      </c>
      <c r="D506" s="1" t="s">
        <v>26</v>
      </c>
      <c r="E506" s="1" t="s">
        <v>41</v>
      </c>
      <c r="F506" s="1" t="s">
        <v>19</v>
      </c>
      <c r="G506" s="1" t="s">
        <v>36</v>
      </c>
      <c r="H506">
        <v>180.64</v>
      </c>
      <c r="I506">
        <v>12</v>
      </c>
      <c r="J506">
        <v>2167.6799999999998</v>
      </c>
      <c r="K506" t="str">
        <f t="shared" si="7"/>
        <v>April</v>
      </c>
    </row>
    <row r="507" spans="1:11" x14ac:dyDescent="0.25">
      <c r="A507" s="1" t="s">
        <v>543</v>
      </c>
      <c r="B507" s="2">
        <v>46001</v>
      </c>
      <c r="C507" s="1" t="s">
        <v>25</v>
      </c>
      <c r="D507" s="1" t="s">
        <v>12</v>
      </c>
      <c r="E507" s="1" t="s">
        <v>13</v>
      </c>
      <c r="F507" s="1" t="s">
        <v>42</v>
      </c>
      <c r="G507" s="1" t="s">
        <v>36</v>
      </c>
      <c r="H507">
        <v>65.78</v>
      </c>
      <c r="I507">
        <v>16</v>
      </c>
      <c r="J507">
        <v>1052.48</v>
      </c>
      <c r="K507" t="str">
        <f t="shared" si="7"/>
        <v>December</v>
      </c>
    </row>
    <row r="508" spans="1:11" x14ac:dyDescent="0.25">
      <c r="A508" s="1" t="s">
        <v>544</v>
      </c>
      <c r="B508" s="2">
        <v>45970</v>
      </c>
      <c r="C508" s="1" t="s">
        <v>25</v>
      </c>
      <c r="D508" s="1" t="s">
        <v>22</v>
      </c>
      <c r="E508" s="1" t="s">
        <v>13</v>
      </c>
      <c r="F508" s="1" t="s">
        <v>32</v>
      </c>
      <c r="G508" s="1" t="s">
        <v>36</v>
      </c>
      <c r="H508">
        <v>230.4</v>
      </c>
      <c r="I508">
        <v>13</v>
      </c>
      <c r="J508">
        <v>2995.2</v>
      </c>
      <c r="K508" t="str">
        <f t="shared" si="7"/>
        <v>November</v>
      </c>
    </row>
    <row r="509" spans="1:11" x14ac:dyDescent="0.25">
      <c r="A509" s="1" t="s">
        <v>545</v>
      </c>
      <c r="B509" s="2">
        <v>45974</v>
      </c>
      <c r="C509" s="1" t="s">
        <v>17</v>
      </c>
      <c r="D509" s="1" t="s">
        <v>12</v>
      </c>
      <c r="E509" s="1" t="s">
        <v>13</v>
      </c>
      <c r="F509" s="1" t="s">
        <v>42</v>
      </c>
      <c r="G509" s="1" t="s">
        <v>20</v>
      </c>
      <c r="H509">
        <v>210.96</v>
      </c>
      <c r="I509">
        <v>6</v>
      </c>
      <c r="J509">
        <v>1265.76</v>
      </c>
      <c r="K509" t="str">
        <f t="shared" si="7"/>
        <v>November</v>
      </c>
    </row>
    <row r="510" spans="1:11" x14ac:dyDescent="0.25">
      <c r="A510" s="1" t="s">
        <v>546</v>
      </c>
      <c r="B510" s="2">
        <v>45701</v>
      </c>
      <c r="C510" s="1" t="s">
        <v>34</v>
      </c>
      <c r="D510" s="1" t="s">
        <v>22</v>
      </c>
      <c r="E510" s="1" t="s">
        <v>23</v>
      </c>
      <c r="F510" s="1" t="s">
        <v>32</v>
      </c>
      <c r="G510" s="1" t="s">
        <v>15</v>
      </c>
      <c r="H510">
        <v>238.96</v>
      </c>
      <c r="I510">
        <v>5</v>
      </c>
      <c r="J510">
        <v>1194.8</v>
      </c>
      <c r="K510" t="str">
        <f t="shared" si="7"/>
        <v>February</v>
      </c>
    </row>
    <row r="511" spans="1:11" x14ac:dyDescent="0.25">
      <c r="A511" s="1" t="s">
        <v>547</v>
      </c>
      <c r="B511" s="2">
        <v>45751</v>
      </c>
      <c r="C511" s="1" t="s">
        <v>17</v>
      </c>
      <c r="D511" s="1" t="s">
        <v>26</v>
      </c>
      <c r="E511" s="1" t="s">
        <v>18</v>
      </c>
      <c r="F511" s="1" t="s">
        <v>61</v>
      </c>
      <c r="G511" s="1" t="s">
        <v>36</v>
      </c>
      <c r="H511">
        <v>189.66</v>
      </c>
      <c r="I511">
        <v>12</v>
      </c>
      <c r="J511">
        <v>2275.92</v>
      </c>
      <c r="K511" t="str">
        <f t="shared" si="7"/>
        <v>April</v>
      </c>
    </row>
    <row r="512" spans="1:11" x14ac:dyDescent="0.25">
      <c r="A512" s="1" t="s">
        <v>548</v>
      </c>
      <c r="B512" s="2">
        <v>45963</v>
      </c>
      <c r="C512" s="1" t="s">
        <v>25</v>
      </c>
      <c r="D512" s="1" t="s">
        <v>31</v>
      </c>
      <c r="E512" s="1" t="s">
        <v>41</v>
      </c>
      <c r="F512" s="1" t="s">
        <v>14</v>
      </c>
      <c r="G512" s="1" t="s">
        <v>36</v>
      </c>
      <c r="H512">
        <v>164.95</v>
      </c>
      <c r="I512">
        <v>5</v>
      </c>
      <c r="J512">
        <v>824.75</v>
      </c>
      <c r="K512" t="str">
        <f t="shared" si="7"/>
        <v>November</v>
      </c>
    </row>
    <row r="513" spans="1:11" x14ac:dyDescent="0.25">
      <c r="A513" s="1" t="s">
        <v>549</v>
      </c>
      <c r="B513" s="2">
        <v>45983</v>
      </c>
      <c r="C513" s="1" t="s">
        <v>17</v>
      </c>
      <c r="D513" s="1" t="s">
        <v>12</v>
      </c>
      <c r="E513" s="1" t="s">
        <v>23</v>
      </c>
      <c r="F513" s="1" t="s">
        <v>42</v>
      </c>
      <c r="G513" s="1" t="s">
        <v>15</v>
      </c>
      <c r="H513">
        <v>122.01</v>
      </c>
      <c r="I513">
        <v>18</v>
      </c>
      <c r="J513">
        <v>2196.1799999999998</v>
      </c>
      <c r="K513" t="str">
        <f t="shared" si="7"/>
        <v>November</v>
      </c>
    </row>
    <row r="514" spans="1:11" x14ac:dyDescent="0.25">
      <c r="A514" s="1" t="s">
        <v>550</v>
      </c>
      <c r="B514" s="2">
        <v>45908</v>
      </c>
      <c r="C514" s="1" t="s">
        <v>30</v>
      </c>
      <c r="D514" s="1" t="s">
        <v>26</v>
      </c>
      <c r="E514" s="1" t="s">
        <v>13</v>
      </c>
      <c r="F514" s="1" t="s">
        <v>39</v>
      </c>
      <c r="G514" s="1" t="s">
        <v>36</v>
      </c>
      <c r="H514">
        <v>235.2</v>
      </c>
      <c r="I514">
        <v>10</v>
      </c>
      <c r="J514">
        <v>2352</v>
      </c>
      <c r="K514" t="str">
        <f t="shared" ref="K514:K577" si="8">TEXT(B:B,"MMMM")</f>
        <v>September</v>
      </c>
    </row>
    <row r="515" spans="1:11" x14ac:dyDescent="0.25">
      <c r="A515" s="1" t="s">
        <v>551</v>
      </c>
      <c r="B515" s="2">
        <v>45975</v>
      </c>
      <c r="C515" s="1" t="s">
        <v>34</v>
      </c>
      <c r="D515" s="1" t="s">
        <v>22</v>
      </c>
      <c r="E515" s="1" t="s">
        <v>41</v>
      </c>
      <c r="F515" s="1" t="s">
        <v>14</v>
      </c>
      <c r="G515" s="1" t="s">
        <v>15</v>
      </c>
      <c r="H515">
        <v>220.53</v>
      </c>
      <c r="I515">
        <v>2</v>
      </c>
      <c r="J515">
        <v>441.06</v>
      </c>
      <c r="K515" t="str">
        <f t="shared" si="8"/>
        <v>November</v>
      </c>
    </row>
    <row r="516" spans="1:11" x14ac:dyDescent="0.25">
      <c r="A516" s="1" t="s">
        <v>552</v>
      </c>
      <c r="B516" s="2">
        <v>45854</v>
      </c>
      <c r="C516" s="1" t="s">
        <v>25</v>
      </c>
      <c r="D516" s="1" t="s">
        <v>12</v>
      </c>
      <c r="E516" s="1" t="s">
        <v>41</v>
      </c>
      <c r="F516" s="1" t="s">
        <v>61</v>
      </c>
      <c r="G516" s="1" t="s">
        <v>20</v>
      </c>
      <c r="H516">
        <v>39.950000000000003</v>
      </c>
      <c r="I516">
        <v>18</v>
      </c>
      <c r="J516">
        <v>719.1</v>
      </c>
      <c r="K516" t="str">
        <f t="shared" si="8"/>
        <v>July</v>
      </c>
    </row>
    <row r="517" spans="1:11" x14ac:dyDescent="0.25">
      <c r="A517" s="1" t="s">
        <v>553</v>
      </c>
      <c r="B517" s="2">
        <v>45909</v>
      </c>
      <c r="C517" s="1" t="s">
        <v>17</v>
      </c>
      <c r="D517" s="1" t="s">
        <v>31</v>
      </c>
      <c r="E517" s="1" t="s">
        <v>41</v>
      </c>
      <c r="F517" s="1" t="s">
        <v>14</v>
      </c>
      <c r="G517" s="1" t="s">
        <v>15</v>
      </c>
      <c r="H517">
        <v>35.799999999999997</v>
      </c>
      <c r="I517">
        <v>14</v>
      </c>
      <c r="J517">
        <v>501.2</v>
      </c>
      <c r="K517" t="str">
        <f t="shared" si="8"/>
        <v>September</v>
      </c>
    </row>
    <row r="518" spans="1:11" x14ac:dyDescent="0.25">
      <c r="A518" s="1" t="s">
        <v>554</v>
      </c>
      <c r="B518" s="2">
        <v>45947</v>
      </c>
      <c r="C518" s="1" t="s">
        <v>30</v>
      </c>
      <c r="D518" s="1" t="s">
        <v>35</v>
      </c>
      <c r="E518" s="1" t="s">
        <v>45</v>
      </c>
      <c r="F518" s="1" t="s">
        <v>32</v>
      </c>
      <c r="G518" s="1" t="s">
        <v>15</v>
      </c>
      <c r="H518">
        <v>112.82</v>
      </c>
      <c r="I518">
        <v>1</v>
      </c>
      <c r="J518">
        <v>112.82</v>
      </c>
      <c r="K518" t="str">
        <f t="shared" si="8"/>
        <v>October</v>
      </c>
    </row>
    <row r="519" spans="1:11" x14ac:dyDescent="0.25">
      <c r="A519" s="1" t="s">
        <v>555</v>
      </c>
      <c r="B519" s="2">
        <v>45933</v>
      </c>
      <c r="C519" s="1" t="s">
        <v>30</v>
      </c>
      <c r="D519" s="1" t="s">
        <v>31</v>
      </c>
      <c r="E519" s="1" t="s">
        <v>18</v>
      </c>
      <c r="F519" s="1" t="s">
        <v>28</v>
      </c>
      <c r="G519" s="1" t="s">
        <v>36</v>
      </c>
      <c r="H519">
        <v>208.32</v>
      </c>
      <c r="I519">
        <v>10</v>
      </c>
      <c r="J519">
        <v>2083.1999999999998</v>
      </c>
      <c r="K519" t="str">
        <f t="shared" si="8"/>
        <v>October</v>
      </c>
    </row>
    <row r="520" spans="1:11" x14ac:dyDescent="0.25">
      <c r="A520" s="1" t="s">
        <v>556</v>
      </c>
      <c r="B520" s="2">
        <v>45939</v>
      </c>
      <c r="C520" s="1" t="s">
        <v>11</v>
      </c>
      <c r="D520" s="1" t="s">
        <v>55</v>
      </c>
      <c r="E520" s="1" t="s">
        <v>45</v>
      </c>
      <c r="F520" s="1" t="s">
        <v>32</v>
      </c>
      <c r="G520" s="1" t="s">
        <v>20</v>
      </c>
      <c r="H520">
        <v>247.2</v>
      </c>
      <c r="I520">
        <v>17</v>
      </c>
      <c r="J520">
        <v>4202.3999999999996</v>
      </c>
      <c r="K520" t="str">
        <f t="shared" si="8"/>
        <v>October</v>
      </c>
    </row>
    <row r="521" spans="1:11" x14ac:dyDescent="0.25">
      <c r="A521" s="1" t="s">
        <v>557</v>
      </c>
      <c r="B521" s="2">
        <v>45845</v>
      </c>
      <c r="C521" s="1" t="s">
        <v>11</v>
      </c>
      <c r="D521" s="1" t="s">
        <v>12</v>
      </c>
      <c r="E521" s="1" t="s">
        <v>41</v>
      </c>
      <c r="F521" s="1" t="s">
        <v>42</v>
      </c>
      <c r="G521" s="1" t="s">
        <v>15</v>
      </c>
      <c r="H521">
        <v>63.09</v>
      </c>
      <c r="I521">
        <v>18</v>
      </c>
      <c r="J521">
        <v>1135.6199999999999</v>
      </c>
      <c r="K521" t="str">
        <f t="shared" si="8"/>
        <v>July</v>
      </c>
    </row>
    <row r="522" spans="1:11" x14ac:dyDescent="0.25">
      <c r="A522" s="1" t="s">
        <v>558</v>
      </c>
      <c r="B522" s="2">
        <v>45875</v>
      </c>
      <c r="C522" s="1" t="s">
        <v>17</v>
      </c>
      <c r="D522" s="1" t="s">
        <v>12</v>
      </c>
      <c r="E522" s="1" t="s">
        <v>23</v>
      </c>
      <c r="F522" s="1" t="s">
        <v>32</v>
      </c>
      <c r="G522" s="1" t="s">
        <v>15</v>
      </c>
      <c r="H522">
        <v>160.71</v>
      </c>
      <c r="I522">
        <v>4</v>
      </c>
      <c r="J522">
        <v>642.84</v>
      </c>
      <c r="K522" t="str">
        <f t="shared" si="8"/>
        <v>August</v>
      </c>
    </row>
    <row r="523" spans="1:11" x14ac:dyDescent="0.25">
      <c r="A523" s="1" t="s">
        <v>559</v>
      </c>
      <c r="B523" s="2">
        <v>45888</v>
      </c>
      <c r="C523" s="1" t="s">
        <v>34</v>
      </c>
      <c r="D523" s="1" t="s">
        <v>22</v>
      </c>
      <c r="E523" s="1" t="s">
        <v>41</v>
      </c>
      <c r="F523" s="1" t="s">
        <v>39</v>
      </c>
      <c r="G523" s="1" t="s">
        <v>15</v>
      </c>
      <c r="H523">
        <v>113.8</v>
      </c>
      <c r="I523">
        <v>9</v>
      </c>
      <c r="J523">
        <v>1024.2</v>
      </c>
      <c r="K523" t="str">
        <f t="shared" si="8"/>
        <v>August</v>
      </c>
    </row>
    <row r="524" spans="1:11" x14ac:dyDescent="0.25">
      <c r="A524" s="1" t="s">
        <v>560</v>
      </c>
      <c r="B524" s="2">
        <v>45779</v>
      </c>
      <c r="C524" s="1" t="s">
        <v>17</v>
      </c>
      <c r="D524" s="1" t="s">
        <v>55</v>
      </c>
      <c r="E524" s="1" t="s">
        <v>27</v>
      </c>
      <c r="F524" s="1" t="s">
        <v>32</v>
      </c>
      <c r="G524" s="1" t="s">
        <v>20</v>
      </c>
      <c r="H524">
        <v>243.38</v>
      </c>
      <c r="I524">
        <v>7</v>
      </c>
      <c r="J524">
        <v>1703.66</v>
      </c>
      <c r="K524" t="str">
        <f t="shared" si="8"/>
        <v>May</v>
      </c>
    </row>
    <row r="525" spans="1:11" x14ac:dyDescent="0.25">
      <c r="A525" s="1" t="s">
        <v>561</v>
      </c>
      <c r="B525" s="2">
        <v>45970</v>
      </c>
      <c r="C525" s="1" t="s">
        <v>30</v>
      </c>
      <c r="D525" s="1" t="s">
        <v>55</v>
      </c>
      <c r="E525" s="1" t="s">
        <v>23</v>
      </c>
      <c r="F525" s="1" t="s">
        <v>39</v>
      </c>
      <c r="G525" s="1" t="s">
        <v>15</v>
      </c>
      <c r="H525">
        <v>215.27</v>
      </c>
      <c r="I525">
        <v>14</v>
      </c>
      <c r="J525">
        <v>3013.78</v>
      </c>
      <c r="K525" t="str">
        <f t="shared" si="8"/>
        <v>November</v>
      </c>
    </row>
    <row r="526" spans="1:11" x14ac:dyDescent="0.25">
      <c r="A526" s="1" t="s">
        <v>562</v>
      </c>
      <c r="B526" s="2">
        <v>45763</v>
      </c>
      <c r="C526" s="1" t="s">
        <v>25</v>
      </c>
      <c r="D526" s="1" t="s">
        <v>35</v>
      </c>
      <c r="E526" s="1" t="s">
        <v>18</v>
      </c>
      <c r="F526" s="1" t="s">
        <v>32</v>
      </c>
      <c r="G526" s="1" t="s">
        <v>20</v>
      </c>
      <c r="H526">
        <v>214.43</v>
      </c>
      <c r="I526">
        <v>2</v>
      </c>
      <c r="J526">
        <v>428.86</v>
      </c>
      <c r="K526" t="str">
        <f t="shared" si="8"/>
        <v>April</v>
      </c>
    </row>
    <row r="527" spans="1:11" x14ac:dyDescent="0.25">
      <c r="A527" s="1" t="s">
        <v>563</v>
      </c>
      <c r="B527" s="2">
        <v>45933</v>
      </c>
      <c r="C527" s="1" t="s">
        <v>34</v>
      </c>
      <c r="D527" s="1" t="s">
        <v>12</v>
      </c>
      <c r="E527" s="1" t="s">
        <v>13</v>
      </c>
      <c r="F527" s="1" t="s">
        <v>32</v>
      </c>
      <c r="G527" s="1" t="s">
        <v>20</v>
      </c>
      <c r="H527">
        <v>133.11000000000001</v>
      </c>
      <c r="I527">
        <v>6</v>
      </c>
      <c r="J527">
        <v>798.66</v>
      </c>
      <c r="K527" t="str">
        <f t="shared" si="8"/>
        <v>October</v>
      </c>
    </row>
    <row r="528" spans="1:11" x14ac:dyDescent="0.25">
      <c r="A528" s="1" t="s">
        <v>564</v>
      </c>
      <c r="B528" s="2">
        <v>45794</v>
      </c>
      <c r="C528" s="1" t="s">
        <v>17</v>
      </c>
      <c r="D528" s="1" t="s">
        <v>22</v>
      </c>
      <c r="E528" s="1" t="s">
        <v>23</v>
      </c>
      <c r="F528" s="1" t="s">
        <v>39</v>
      </c>
      <c r="G528" s="1" t="s">
        <v>36</v>
      </c>
      <c r="H528">
        <v>121.26</v>
      </c>
      <c r="I528">
        <v>17</v>
      </c>
      <c r="J528">
        <v>2061.42</v>
      </c>
      <c r="K528" t="str">
        <f t="shared" si="8"/>
        <v>May</v>
      </c>
    </row>
    <row r="529" spans="1:11" x14ac:dyDescent="0.25">
      <c r="A529" s="1" t="s">
        <v>565</v>
      </c>
      <c r="B529" s="2">
        <v>45688</v>
      </c>
      <c r="C529" s="1" t="s">
        <v>17</v>
      </c>
      <c r="D529" s="1" t="s">
        <v>26</v>
      </c>
      <c r="E529" s="1" t="s">
        <v>27</v>
      </c>
      <c r="F529" s="1" t="s">
        <v>39</v>
      </c>
      <c r="G529" s="1" t="s">
        <v>15</v>
      </c>
      <c r="H529">
        <v>90.15</v>
      </c>
      <c r="I529">
        <v>9</v>
      </c>
      <c r="J529">
        <v>811.35</v>
      </c>
      <c r="K529" t="str">
        <f t="shared" si="8"/>
        <v>January</v>
      </c>
    </row>
    <row r="530" spans="1:11" x14ac:dyDescent="0.25">
      <c r="A530" s="1" t="s">
        <v>566</v>
      </c>
      <c r="B530" s="2">
        <v>45785</v>
      </c>
      <c r="C530" s="1" t="s">
        <v>17</v>
      </c>
      <c r="D530" s="1" t="s">
        <v>35</v>
      </c>
      <c r="E530" s="1" t="s">
        <v>23</v>
      </c>
      <c r="F530" s="1" t="s">
        <v>39</v>
      </c>
      <c r="G530" s="1" t="s">
        <v>20</v>
      </c>
      <c r="H530">
        <v>42.4</v>
      </c>
      <c r="I530">
        <v>5</v>
      </c>
      <c r="J530">
        <v>212</v>
      </c>
      <c r="K530" t="str">
        <f t="shared" si="8"/>
        <v>May</v>
      </c>
    </row>
    <row r="531" spans="1:11" x14ac:dyDescent="0.25">
      <c r="A531" s="1" t="s">
        <v>567</v>
      </c>
      <c r="B531" s="2">
        <v>45859</v>
      </c>
      <c r="C531" s="1" t="s">
        <v>30</v>
      </c>
      <c r="D531" s="1" t="s">
        <v>55</v>
      </c>
      <c r="E531" s="1" t="s">
        <v>27</v>
      </c>
      <c r="F531" s="1" t="s">
        <v>32</v>
      </c>
      <c r="G531" s="1" t="s">
        <v>20</v>
      </c>
      <c r="H531">
        <v>220.24</v>
      </c>
      <c r="I531">
        <v>16</v>
      </c>
      <c r="J531">
        <v>3523.84</v>
      </c>
      <c r="K531" t="str">
        <f t="shared" si="8"/>
        <v>July</v>
      </c>
    </row>
    <row r="532" spans="1:11" x14ac:dyDescent="0.25">
      <c r="A532" s="1" t="s">
        <v>568</v>
      </c>
      <c r="B532" s="2">
        <v>45870</v>
      </c>
      <c r="C532" s="1" t="s">
        <v>38</v>
      </c>
      <c r="D532" s="1" t="s">
        <v>22</v>
      </c>
      <c r="E532" s="1" t="s">
        <v>27</v>
      </c>
      <c r="F532" s="1" t="s">
        <v>39</v>
      </c>
      <c r="G532" s="1" t="s">
        <v>15</v>
      </c>
      <c r="H532">
        <v>208.84</v>
      </c>
      <c r="I532">
        <v>13</v>
      </c>
      <c r="J532">
        <v>2714.92</v>
      </c>
      <c r="K532" t="str">
        <f t="shared" si="8"/>
        <v>August</v>
      </c>
    </row>
    <row r="533" spans="1:11" x14ac:dyDescent="0.25">
      <c r="A533" s="1" t="s">
        <v>569</v>
      </c>
      <c r="B533" s="2">
        <v>45864</v>
      </c>
      <c r="C533" s="1" t="s">
        <v>17</v>
      </c>
      <c r="D533" s="1" t="s">
        <v>35</v>
      </c>
      <c r="E533" s="1" t="s">
        <v>27</v>
      </c>
      <c r="F533" s="1" t="s">
        <v>32</v>
      </c>
      <c r="G533" s="1" t="s">
        <v>36</v>
      </c>
      <c r="H533">
        <v>249.94</v>
      </c>
      <c r="I533">
        <v>17</v>
      </c>
      <c r="J533">
        <v>4248.9799999999996</v>
      </c>
      <c r="K533" t="str">
        <f t="shared" si="8"/>
        <v>July</v>
      </c>
    </row>
    <row r="534" spans="1:11" x14ac:dyDescent="0.25">
      <c r="A534" s="1" t="s">
        <v>570</v>
      </c>
      <c r="B534" s="2">
        <v>45907</v>
      </c>
      <c r="C534" s="1" t="s">
        <v>25</v>
      </c>
      <c r="D534" s="1" t="s">
        <v>22</v>
      </c>
      <c r="E534" s="1" t="s">
        <v>27</v>
      </c>
      <c r="F534" s="1" t="s">
        <v>19</v>
      </c>
      <c r="G534" s="1" t="s">
        <v>20</v>
      </c>
      <c r="H534">
        <v>249.26</v>
      </c>
      <c r="I534">
        <v>11</v>
      </c>
      <c r="J534">
        <v>2741.86</v>
      </c>
      <c r="K534" t="str">
        <f t="shared" si="8"/>
        <v>September</v>
      </c>
    </row>
    <row r="535" spans="1:11" x14ac:dyDescent="0.25">
      <c r="A535" s="1" t="s">
        <v>571</v>
      </c>
      <c r="B535" s="2">
        <v>45892</v>
      </c>
      <c r="C535" s="1" t="s">
        <v>11</v>
      </c>
      <c r="D535" s="1" t="s">
        <v>55</v>
      </c>
      <c r="E535" s="1" t="s">
        <v>41</v>
      </c>
      <c r="F535" s="1" t="s">
        <v>14</v>
      </c>
      <c r="G535" s="1" t="s">
        <v>36</v>
      </c>
      <c r="H535">
        <v>152.19</v>
      </c>
      <c r="I535">
        <v>12</v>
      </c>
      <c r="J535">
        <v>1826.28</v>
      </c>
      <c r="K535" t="str">
        <f t="shared" si="8"/>
        <v>August</v>
      </c>
    </row>
    <row r="536" spans="1:11" x14ac:dyDescent="0.25">
      <c r="A536" s="1" t="s">
        <v>572</v>
      </c>
      <c r="B536" s="2">
        <v>45766</v>
      </c>
      <c r="C536" s="1" t="s">
        <v>34</v>
      </c>
      <c r="D536" s="1" t="s">
        <v>35</v>
      </c>
      <c r="E536" s="1" t="s">
        <v>13</v>
      </c>
      <c r="F536" s="1" t="s">
        <v>32</v>
      </c>
      <c r="G536" s="1" t="s">
        <v>20</v>
      </c>
      <c r="H536">
        <v>199.18</v>
      </c>
      <c r="I536">
        <v>16</v>
      </c>
      <c r="J536">
        <v>3186.88</v>
      </c>
      <c r="K536" t="str">
        <f t="shared" si="8"/>
        <v>April</v>
      </c>
    </row>
    <row r="537" spans="1:11" x14ac:dyDescent="0.25">
      <c r="A537" s="1" t="s">
        <v>573</v>
      </c>
      <c r="B537" s="2">
        <v>45953</v>
      </c>
      <c r="C537" s="1" t="s">
        <v>25</v>
      </c>
      <c r="D537" s="1" t="s">
        <v>31</v>
      </c>
      <c r="E537" s="1" t="s">
        <v>13</v>
      </c>
      <c r="F537" s="1" t="s">
        <v>28</v>
      </c>
      <c r="G537" s="1" t="s">
        <v>15</v>
      </c>
      <c r="H537">
        <v>237.85</v>
      </c>
      <c r="I537">
        <v>5</v>
      </c>
      <c r="J537">
        <v>1189.25</v>
      </c>
      <c r="K537" t="str">
        <f t="shared" si="8"/>
        <v>October</v>
      </c>
    </row>
    <row r="538" spans="1:11" x14ac:dyDescent="0.25">
      <c r="A538" s="1" t="s">
        <v>574</v>
      </c>
      <c r="B538" s="2">
        <v>45681</v>
      </c>
      <c r="C538" s="1" t="s">
        <v>17</v>
      </c>
      <c r="D538" s="1" t="s">
        <v>31</v>
      </c>
      <c r="E538" s="1" t="s">
        <v>45</v>
      </c>
      <c r="F538" s="1" t="s">
        <v>19</v>
      </c>
      <c r="G538" s="1" t="s">
        <v>15</v>
      </c>
      <c r="H538">
        <v>216.92</v>
      </c>
      <c r="I538">
        <v>4</v>
      </c>
      <c r="J538">
        <v>867.68</v>
      </c>
      <c r="K538" t="str">
        <f t="shared" si="8"/>
        <v>January</v>
      </c>
    </row>
    <row r="539" spans="1:11" x14ac:dyDescent="0.25">
      <c r="A539" s="1" t="s">
        <v>575</v>
      </c>
      <c r="B539" s="2">
        <v>45883</v>
      </c>
      <c r="C539" s="1" t="s">
        <v>11</v>
      </c>
      <c r="D539" s="1" t="s">
        <v>31</v>
      </c>
      <c r="E539" s="1" t="s">
        <v>23</v>
      </c>
      <c r="F539" s="1" t="s">
        <v>28</v>
      </c>
      <c r="G539" s="1" t="s">
        <v>15</v>
      </c>
      <c r="H539">
        <v>84.42</v>
      </c>
      <c r="I539">
        <v>15</v>
      </c>
      <c r="J539">
        <v>1266.3</v>
      </c>
      <c r="K539" t="str">
        <f t="shared" si="8"/>
        <v>August</v>
      </c>
    </row>
    <row r="540" spans="1:11" x14ac:dyDescent="0.25">
      <c r="A540" s="1" t="s">
        <v>576</v>
      </c>
      <c r="B540" s="2">
        <v>45990</v>
      </c>
      <c r="C540" s="1" t="s">
        <v>30</v>
      </c>
      <c r="D540" s="1" t="s">
        <v>35</v>
      </c>
      <c r="E540" s="1" t="s">
        <v>45</v>
      </c>
      <c r="F540" s="1" t="s">
        <v>28</v>
      </c>
      <c r="G540" s="1" t="s">
        <v>36</v>
      </c>
      <c r="H540">
        <v>129.12</v>
      </c>
      <c r="I540">
        <v>10</v>
      </c>
      <c r="J540">
        <v>1291.2</v>
      </c>
      <c r="K540" t="str">
        <f t="shared" si="8"/>
        <v>November</v>
      </c>
    </row>
    <row r="541" spans="1:11" x14ac:dyDescent="0.25">
      <c r="A541" s="1" t="s">
        <v>577</v>
      </c>
      <c r="B541" s="2">
        <v>45786</v>
      </c>
      <c r="C541" s="1" t="s">
        <v>34</v>
      </c>
      <c r="D541" s="1" t="s">
        <v>12</v>
      </c>
      <c r="E541" s="1" t="s">
        <v>27</v>
      </c>
      <c r="F541" s="1" t="s">
        <v>14</v>
      </c>
      <c r="G541" s="1" t="s">
        <v>15</v>
      </c>
      <c r="H541">
        <v>58.42</v>
      </c>
      <c r="I541">
        <v>3</v>
      </c>
      <c r="J541">
        <v>175.26</v>
      </c>
      <c r="K541" t="str">
        <f t="shared" si="8"/>
        <v>May</v>
      </c>
    </row>
    <row r="542" spans="1:11" x14ac:dyDescent="0.25">
      <c r="A542" s="1" t="s">
        <v>578</v>
      </c>
      <c r="B542" s="2">
        <v>45860</v>
      </c>
      <c r="C542" s="1" t="s">
        <v>17</v>
      </c>
      <c r="D542" s="1" t="s">
        <v>12</v>
      </c>
      <c r="E542" s="1" t="s">
        <v>23</v>
      </c>
      <c r="F542" s="1" t="s">
        <v>61</v>
      </c>
      <c r="G542" s="1" t="s">
        <v>20</v>
      </c>
      <c r="H542">
        <v>239.89</v>
      </c>
      <c r="I542">
        <v>10</v>
      </c>
      <c r="J542">
        <v>2398.9</v>
      </c>
      <c r="K542" t="str">
        <f t="shared" si="8"/>
        <v>July</v>
      </c>
    </row>
    <row r="543" spans="1:11" x14ac:dyDescent="0.25">
      <c r="A543" s="1" t="s">
        <v>579</v>
      </c>
      <c r="B543" s="2">
        <v>45704</v>
      </c>
      <c r="C543" s="1" t="s">
        <v>11</v>
      </c>
      <c r="D543" s="1" t="s">
        <v>26</v>
      </c>
      <c r="E543" s="1" t="s">
        <v>41</v>
      </c>
      <c r="F543" s="1" t="s">
        <v>19</v>
      </c>
      <c r="G543" s="1" t="s">
        <v>15</v>
      </c>
      <c r="H543">
        <v>163.36000000000001</v>
      </c>
      <c r="I543">
        <v>4</v>
      </c>
      <c r="J543">
        <v>653.44000000000005</v>
      </c>
      <c r="K543" t="str">
        <f t="shared" si="8"/>
        <v>February</v>
      </c>
    </row>
    <row r="544" spans="1:11" x14ac:dyDescent="0.25">
      <c r="A544" s="1" t="s">
        <v>580</v>
      </c>
      <c r="B544" s="2">
        <v>45961</v>
      </c>
      <c r="C544" s="1" t="s">
        <v>25</v>
      </c>
      <c r="D544" s="1" t="s">
        <v>12</v>
      </c>
      <c r="E544" s="1" t="s">
        <v>41</v>
      </c>
      <c r="F544" s="1" t="s">
        <v>19</v>
      </c>
      <c r="G544" s="1" t="s">
        <v>15</v>
      </c>
      <c r="H544">
        <v>80.3</v>
      </c>
      <c r="I544">
        <v>8</v>
      </c>
      <c r="J544">
        <v>642.4</v>
      </c>
      <c r="K544" t="str">
        <f t="shared" si="8"/>
        <v>October</v>
      </c>
    </row>
    <row r="545" spans="1:11" x14ac:dyDescent="0.25">
      <c r="A545" s="1" t="s">
        <v>581</v>
      </c>
      <c r="B545" s="2">
        <v>46014</v>
      </c>
      <c r="C545" s="1" t="s">
        <v>11</v>
      </c>
      <c r="D545" s="1" t="s">
        <v>31</v>
      </c>
      <c r="E545" s="1" t="s">
        <v>27</v>
      </c>
      <c r="F545" s="1" t="s">
        <v>14</v>
      </c>
      <c r="G545" s="1" t="s">
        <v>36</v>
      </c>
      <c r="H545">
        <v>177.77</v>
      </c>
      <c r="I545">
        <v>11</v>
      </c>
      <c r="J545">
        <v>1955.47</v>
      </c>
      <c r="K545" t="str">
        <f t="shared" si="8"/>
        <v>December</v>
      </c>
    </row>
    <row r="546" spans="1:11" x14ac:dyDescent="0.25">
      <c r="A546" s="1" t="s">
        <v>582</v>
      </c>
      <c r="B546" s="2">
        <v>45694</v>
      </c>
      <c r="C546" s="1" t="s">
        <v>38</v>
      </c>
      <c r="D546" s="1" t="s">
        <v>22</v>
      </c>
      <c r="E546" s="1" t="s">
        <v>27</v>
      </c>
      <c r="F546" s="1" t="s">
        <v>39</v>
      </c>
      <c r="G546" s="1" t="s">
        <v>15</v>
      </c>
      <c r="H546">
        <v>165.99</v>
      </c>
      <c r="I546">
        <v>8</v>
      </c>
      <c r="J546">
        <v>1327.92</v>
      </c>
      <c r="K546" t="str">
        <f t="shared" si="8"/>
        <v>February</v>
      </c>
    </row>
    <row r="547" spans="1:11" x14ac:dyDescent="0.25">
      <c r="A547" s="1" t="s">
        <v>583</v>
      </c>
      <c r="B547" s="2">
        <v>45710</v>
      </c>
      <c r="C547" s="1" t="s">
        <v>34</v>
      </c>
      <c r="D547" s="1" t="s">
        <v>35</v>
      </c>
      <c r="E547" s="1" t="s">
        <v>23</v>
      </c>
      <c r="F547" s="1" t="s">
        <v>61</v>
      </c>
      <c r="G547" s="1" t="s">
        <v>15</v>
      </c>
      <c r="H547">
        <v>108.8</v>
      </c>
      <c r="I547">
        <v>11</v>
      </c>
      <c r="J547">
        <v>1196.8</v>
      </c>
      <c r="K547" t="str">
        <f t="shared" si="8"/>
        <v>February</v>
      </c>
    </row>
    <row r="548" spans="1:11" x14ac:dyDescent="0.25">
      <c r="A548" s="1" t="s">
        <v>584</v>
      </c>
      <c r="B548" s="2">
        <v>45986</v>
      </c>
      <c r="C548" s="1" t="s">
        <v>11</v>
      </c>
      <c r="D548" s="1" t="s">
        <v>55</v>
      </c>
      <c r="E548" s="1" t="s">
        <v>18</v>
      </c>
      <c r="F548" s="1" t="s">
        <v>19</v>
      </c>
      <c r="G548" s="1" t="s">
        <v>20</v>
      </c>
      <c r="H548">
        <v>54.98</v>
      </c>
      <c r="I548">
        <v>5</v>
      </c>
      <c r="J548">
        <v>274.89999999999998</v>
      </c>
      <c r="K548" t="str">
        <f t="shared" si="8"/>
        <v>November</v>
      </c>
    </row>
    <row r="549" spans="1:11" x14ac:dyDescent="0.25">
      <c r="A549" s="1" t="s">
        <v>585</v>
      </c>
      <c r="B549" s="2">
        <v>45990</v>
      </c>
      <c r="C549" s="1" t="s">
        <v>38</v>
      </c>
      <c r="D549" s="1" t="s">
        <v>35</v>
      </c>
      <c r="E549" s="1" t="s">
        <v>27</v>
      </c>
      <c r="F549" s="1" t="s">
        <v>14</v>
      </c>
      <c r="G549" s="1" t="s">
        <v>20</v>
      </c>
      <c r="H549">
        <v>177.75</v>
      </c>
      <c r="I549">
        <v>6</v>
      </c>
      <c r="J549">
        <v>1066.5</v>
      </c>
      <c r="K549" t="str">
        <f t="shared" si="8"/>
        <v>November</v>
      </c>
    </row>
    <row r="550" spans="1:11" x14ac:dyDescent="0.25">
      <c r="A550" s="1" t="s">
        <v>586</v>
      </c>
      <c r="B550" s="2">
        <v>45735</v>
      </c>
      <c r="C550" s="1" t="s">
        <v>25</v>
      </c>
      <c r="D550" s="1" t="s">
        <v>12</v>
      </c>
      <c r="E550" s="1" t="s">
        <v>41</v>
      </c>
      <c r="F550" s="1" t="s">
        <v>39</v>
      </c>
      <c r="G550" s="1" t="s">
        <v>15</v>
      </c>
      <c r="H550">
        <v>144.47</v>
      </c>
      <c r="I550">
        <v>14</v>
      </c>
      <c r="J550">
        <v>2022.58</v>
      </c>
      <c r="K550" t="str">
        <f t="shared" si="8"/>
        <v>March</v>
      </c>
    </row>
    <row r="551" spans="1:11" x14ac:dyDescent="0.25">
      <c r="A551" s="1" t="s">
        <v>587</v>
      </c>
      <c r="B551" s="2">
        <v>45702</v>
      </c>
      <c r="C551" s="1" t="s">
        <v>30</v>
      </c>
      <c r="D551" s="1" t="s">
        <v>22</v>
      </c>
      <c r="E551" s="1" t="s">
        <v>18</v>
      </c>
      <c r="F551" s="1" t="s">
        <v>28</v>
      </c>
      <c r="G551" s="1" t="s">
        <v>36</v>
      </c>
      <c r="H551">
        <v>199.91</v>
      </c>
      <c r="I551">
        <v>4</v>
      </c>
      <c r="J551">
        <v>799.64</v>
      </c>
      <c r="K551" t="str">
        <f t="shared" si="8"/>
        <v>February</v>
      </c>
    </row>
    <row r="552" spans="1:11" x14ac:dyDescent="0.25">
      <c r="A552" s="1" t="s">
        <v>588</v>
      </c>
      <c r="B552" s="2">
        <v>45837</v>
      </c>
      <c r="C552" s="1" t="s">
        <v>34</v>
      </c>
      <c r="D552" s="1" t="s">
        <v>26</v>
      </c>
      <c r="E552" s="1" t="s">
        <v>23</v>
      </c>
      <c r="F552" s="1" t="s">
        <v>32</v>
      </c>
      <c r="G552" s="1" t="s">
        <v>20</v>
      </c>
      <c r="H552">
        <v>144.44</v>
      </c>
      <c r="I552">
        <v>14</v>
      </c>
      <c r="J552">
        <v>2022.16</v>
      </c>
      <c r="K552" t="str">
        <f t="shared" si="8"/>
        <v>June</v>
      </c>
    </row>
    <row r="553" spans="1:11" x14ac:dyDescent="0.25">
      <c r="A553" s="1" t="s">
        <v>589</v>
      </c>
      <c r="B553" s="2">
        <v>45701</v>
      </c>
      <c r="C553" s="1" t="s">
        <v>25</v>
      </c>
      <c r="D553" s="1" t="s">
        <v>55</v>
      </c>
      <c r="E553" s="1" t="s">
        <v>18</v>
      </c>
      <c r="F553" s="1" t="s">
        <v>28</v>
      </c>
      <c r="G553" s="1" t="s">
        <v>20</v>
      </c>
      <c r="H553">
        <v>217.48</v>
      </c>
      <c r="I553">
        <v>8</v>
      </c>
      <c r="J553">
        <v>1739.84</v>
      </c>
      <c r="K553" t="str">
        <f t="shared" si="8"/>
        <v>February</v>
      </c>
    </row>
    <row r="554" spans="1:11" x14ac:dyDescent="0.25">
      <c r="A554" s="1" t="s">
        <v>590</v>
      </c>
      <c r="B554" s="2">
        <v>45803</v>
      </c>
      <c r="C554" s="1" t="s">
        <v>17</v>
      </c>
      <c r="D554" s="1" t="s">
        <v>35</v>
      </c>
      <c r="E554" s="1" t="s">
        <v>23</v>
      </c>
      <c r="F554" s="1" t="s">
        <v>42</v>
      </c>
      <c r="G554" s="1" t="s">
        <v>20</v>
      </c>
      <c r="H554">
        <v>151.41999999999999</v>
      </c>
      <c r="I554">
        <v>1</v>
      </c>
      <c r="J554">
        <v>151.41999999999999</v>
      </c>
      <c r="K554" t="str">
        <f t="shared" si="8"/>
        <v>May</v>
      </c>
    </row>
    <row r="555" spans="1:11" x14ac:dyDescent="0.25">
      <c r="A555" s="1" t="s">
        <v>591</v>
      </c>
      <c r="B555" s="2">
        <v>45918</v>
      </c>
      <c r="C555" s="1" t="s">
        <v>17</v>
      </c>
      <c r="D555" s="1" t="s">
        <v>31</v>
      </c>
      <c r="E555" s="1" t="s">
        <v>13</v>
      </c>
      <c r="F555" s="1" t="s">
        <v>28</v>
      </c>
      <c r="G555" s="1" t="s">
        <v>15</v>
      </c>
      <c r="H555">
        <v>153.41</v>
      </c>
      <c r="I555">
        <v>7</v>
      </c>
      <c r="J555">
        <v>1073.8699999999999</v>
      </c>
      <c r="K555" t="str">
        <f t="shared" si="8"/>
        <v>September</v>
      </c>
    </row>
    <row r="556" spans="1:11" x14ac:dyDescent="0.25">
      <c r="A556" s="1" t="s">
        <v>592</v>
      </c>
      <c r="B556" s="2">
        <v>45780</v>
      </c>
      <c r="C556" s="1" t="s">
        <v>38</v>
      </c>
      <c r="D556" s="1" t="s">
        <v>22</v>
      </c>
      <c r="E556" s="1" t="s">
        <v>23</v>
      </c>
      <c r="F556" s="1" t="s">
        <v>61</v>
      </c>
      <c r="G556" s="1" t="s">
        <v>20</v>
      </c>
      <c r="H556">
        <v>222.86</v>
      </c>
      <c r="I556">
        <v>16</v>
      </c>
      <c r="J556">
        <v>3565.76</v>
      </c>
      <c r="K556" t="str">
        <f t="shared" si="8"/>
        <v>May</v>
      </c>
    </row>
    <row r="557" spans="1:11" x14ac:dyDescent="0.25">
      <c r="A557" s="1" t="s">
        <v>593</v>
      </c>
      <c r="B557" s="2">
        <v>45962</v>
      </c>
      <c r="C557" s="1" t="s">
        <v>25</v>
      </c>
      <c r="D557" s="1" t="s">
        <v>22</v>
      </c>
      <c r="E557" s="1" t="s">
        <v>13</v>
      </c>
      <c r="F557" s="1" t="s">
        <v>32</v>
      </c>
      <c r="G557" s="1" t="s">
        <v>15</v>
      </c>
      <c r="H557">
        <v>118.77</v>
      </c>
      <c r="I557">
        <v>3</v>
      </c>
      <c r="J557">
        <v>356.31</v>
      </c>
      <c r="K557" t="str">
        <f t="shared" si="8"/>
        <v>November</v>
      </c>
    </row>
    <row r="558" spans="1:11" x14ac:dyDescent="0.25">
      <c r="A558" s="1" t="s">
        <v>594</v>
      </c>
      <c r="B558" s="2">
        <v>45856</v>
      </c>
      <c r="C558" s="1" t="s">
        <v>38</v>
      </c>
      <c r="D558" s="1" t="s">
        <v>35</v>
      </c>
      <c r="E558" s="1" t="s">
        <v>18</v>
      </c>
      <c r="F558" s="1" t="s">
        <v>28</v>
      </c>
      <c r="G558" s="1" t="s">
        <v>15</v>
      </c>
      <c r="H558">
        <v>59.48</v>
      </c>
      <c r="I558">
        <v>19</v>
      </c>
      <c r="J558">
        <v>1130.1199999999999</v>
      </c>
      <c r="K558" t="str">
        <f t="shared" si="8"/>
        <v>July</v>
      </c>
    </row>
    <row r="559" spans="1:11" x14ac:dyDescent="0.25">
      <c r="A559" s="1" t="s">
        <v>595</v>
      </c>
      <c r="B559" s="2">
        <v>45899</v>
      </c>
      <c r="C559" s="1" t="s">
        <v>11</v>
      </c>
      <c r="D559" s="1" t="s">
        <v>55</v>
      </c>
      <c r="E559" s="1" t="s">
        <v>45</v>
      </c>
      <c r="F559" s="1" t="s">
        <v>19</v>
      </c>
      <c r="G559" s="1" t="s">
        <v>36</v>
      </c>
      <c r="H559">
        <v>36.33</v>
      </c>
      <c r="I559">
        <v>3</v>
      </c>
      <c r="J559">
        <v>108.99</v>
      </c>
      <c r="K559" t="str">
        <f t="shared" si="8"/>
        <v>August</v>
      </c>
    </row>
    <row r="560" spans="1:11" x14ac:dyDescent="0.25">
      <c r="A560" s="1" t="s">
        <v>596</v>
      </c>
      <c r="B560" s="2">
        <v>45768</v>
      </c>
      <c r="C560" s="1" t="s">
        <v>11</v>
      </c>
      <c r="D560" s="1" t="s">
        <v>31</v>
      </c>
      <c r="E560" s="1" t="s">
        <v>18</v>
      </c>
      <c r="F560" s="1" t="s">
        <v>32</v>
      </c>
      <c r="G560" s="1" t="s">
        <v>20</v>
      </c>
      <c r="H560">
        <v>196.13</v>
      </c>
      <c r="I560">
        <v>2</v>
      </c>
      <c r="J560">
        <v>392.26</v>
      </c>
      <c r="K560" t="str">
        <f t="shared" si="8"/>
        <v>April</v>
      </c>
    </row>
    <row r="561" spans="1:11" x14ac:dyDescent="0.25">
      <c r="A561" s="1" t="s">
        <v>597</v>
      </c>
      <c r="B561" s="2">
        <v>46022</v>
      </c>
      <c r="C561" s="1" t="s">
        <v>38</v>
      </c>
      <c r="D561" s="1" t="s">
        <v>31</v>
      </c>
      <c r="E561" s="1" t="s">
        <v>27</v>
      </c>
      <c r="F561" s="1" t="s">
        <v>61</v>
      </c>
      <c r="G561" s="1" t="s">
        <v>15</v>
      </c>
      <c r="H561">
        <v>166.47</v>
      </c>
      <c r="I561">
        <v>17</v>
      </c>
      <c r="J561">
        <v>2829.99</v>
      </c>
      <c r="K561" t="str">
        <f t="shared" si="8"/>
        <v>December</v>
      </c>
    </row>
    <row r="562" spans="1:11" x14ac:dyDescent="0.25">
      <c r="A562" s="1" t="s">
        <v>598</v>
      </c>
      <c r="B562" s="2">
        <v>45985</v>
      </c>
      <c r="C562" s="1" t="s">
        <v>25</v>
      </c>
      <c r="D562" s="1" t="s">
        <v>55</v>
      </c>
      <c r="E562" s="1" t="s">
        <v>23</v>
      </c>
      <c r="F562" s="1" t="s">
        <v>32</v>
      </c>
      <c r="G562" s="1" t="s">
        <v>15</v>
      </c>
      <c r="H562">
        <v>184.9</v>
      </c>
      <c r="I562">
        <v>18</v>
      </c>
      <c r="J562">
        <v>3328.2</v>
      </c>
      <c r="K562" t="str">
        <f t="shared" si="8"/>
        <v>November</v>
      </c>
    </row>
    <row r="563" spans="1:11" x14ac:dyDescent="0.25">
      <c r="A563" s="1" t="s">
        <v>599</v>
      </c>
      <c r="B563" s="2">
        <v>45816</v>
      </c>
      <c r="C563" s="1" t="s">
        <v>25</v>
      </c>
      <c r="D563" s="1" t="s">
        <v>26</v>
      </c>
      <c r="E563" s="1" t="s">
        <v>23</v>
      </c>
      <c r="F563" s="1" t="s">
        <v>42</v>
      </c>
      <c r="G563" s="1" t="s">
        <v>36</v>
      </c>
      <c r="H563">
        <v>76.849999999999994</v>
      </c>
      <c r="I563">
        <v>3</v>
      </c>
      <c r="J563">
        <v>230.55</v>
      </c>
      <c r="K563" t="str">
        <f t="shared" si="8"/>
        <v>June</v>
      </c>
    </row>
    <row r="564" spans="1:11" x14ac:dyDescent="0.25">
      <c r="A564" s="1" t="s">
        <v>600</v>
      </c>
      <c r="B564" s="2">
        <v>45858</v>
      </c>
      <c r="C564" s="1" t="s">
        <v>17</v>
      </c>
      <c r="D564" s="1" t="s">
        <v>12</v>
      </c>
      <c r="E564" s="1" t="s">
        <v>27</v>
      </c>
      <c r="F564" s="1" t="s">
        <v>28</v>
      </c>
      <c r="G564" s="1" t="s">
        <v>15</v>
      </c>
      <c r="H564">
        <v>60</v>
      </c>
      <c r="I564">
        <v>19</v>
      </c>
      <c r="J564">
        <v>1140</v>
      </c>
      <c r="K564" t="str">
        <f t="shared" si="8"/>
        <v>July</v>
      </c>
    </row>
    <row r="565" spans="1:11" x14ac:dyDescent="0.25">
      <c r="A565" s="1" t="s">
        <v>601</v>
      </c>
      <c r="B565" s="2">
        <v>45816</v>
      </c>
      <c r="C565" s="1" t="s">
        <v>17</v>
      </c>
      <c r="D565" s="1" t="s">
        <v>26</v>
      </c>
      <c r="E565" s="1" t="s">
        <v>45</v>
      </c>
      <c r="F565" s="1" t="s">
        <v>14</v>
      </c>
      <c r="G565" s="1" t="s">
        <v>15</v>
      </c>
      <c r="H565">
        <v>33.200000000000003</v>
      </c>
      <c r="I565">
        <v>14</v>
      </c>
      <c r="J565">
        <v>464.8</v>
      </c>
      <c r="K565" t="str">
        <f t="shared" si="8"/>
        <v>June</v>
      </c>
    </row>
    <row r="566" spans="1:11" x14ac:dyDescent="0.25">
      <c r="A566" s="1" t="s">
        <v>602</v>
      </c>
      <c r="B566" s="2">
        <v>45880</v>
      </c>
      <c r="C566" s="1" t="s">
        <v>38</v>
      </c>
      <c r="D566" s="1" t="s">
        <v>55</v>
      </c>
      <c r="E566" s="1" t="s">
        <v>18</v>
      </c>
      <c r="F566" s="1" t="s">
        <v>19</v>
      </c>
      <c r="G566" s="1" t="s">
        <v>36</v>
      </c>
      <c r="H566">
        <v>107.13</v>
      </c>
      <c r="I566">
        <v>4</v>
      </c>
      <c r="J566">
        <v>428.52</v>
      </c>
      <c r="K566" t="str">
        <f t="shared" si="8"/>
        <v>August</v>
      </c>
    </row>
    <row r="567" spans="1:11" x14ac:dyDescent="0.25">
      <c r="A567" s="1" t="s">
        <v>603</v>
      </c>
      <c r="B567" s="2">
        <v>45999</v>
      </c>
      <c r="C567" s="1" t="s">
        <v>11</v>
      </c>
      <c r="D567" s="1" t="s">
        <v>22</v>
      </c>
      <c r="E567" s="1" t="s">
        <v>27</v>
      </c>
      <c r="F567" s="1" t="s">
        <v>14</v>
      </c>
      <c r="G567" s="1" t="s">
        <v>20</v>
      </c>
      <c r="H567">
        <v>159.78</v>
      </c>
      <c r="I567">
        <v>6</v>
      </c>
      <c r="J567">
        <v>958.68</v>
      </c>
      <c r="K567" t="str">
        <f t="shared" si="8"/>
        <v>December</v>
      </c>
    </row>
    <row r="568" spans="1:11" x14ac:dyDescent="0.25">
      <c r="A568" s="1" t="s">
        <v>604</v>
      </c>
      <c r="B568" s="2">
        <v>45663</v>
      </c>
      <c r="C568" s="1" t="s">
        <v>38</v>
      </c>
      <c r="D568" s="1" t="s">
        <v>35</v>
      </c>
      <c r="E568" s="1" t="s">
        <v>18</v>
      </c>
      <c r="F568" s="1" t="s">
        <v>42</v>
      </c>
      <c r="G568" s="1" t="s">
        <v>20</v>
      </c>
      <c r="H568">
        <v>116.29</v>
      </c>
      <c r="I568">
        <v>6</v>
      </c>
      <c r="J568">
        <v>697.74</v>
      </c>
      <c r="K568" t="str">
        <f t="shared" si="8"/>
        <v>January</v>
      </c>
    </row>
    <row r="569" spans="1:11" x14ac:dyDescent="0.25">
      <c r="A569" s="1" t="s">
        <v>605</v>
      </c>
      <c r="B569" s="2">
        <v>45790</v>
      </c>
      <c r="C569" s="1" t="s">
        <v>34</v>
      </c>
      <c r="D569" s="1" t="s">
        <v>26</v>
      </c>
      <c r="E569" s="1" t="s">
        <v>27</v>
      </c>
      <c r="F569" s="1" t="s">
        <v>39</v>
      </c>
      <c r="G569" s="1" t="s">
        <v>36</v>
      </c>
      <c r="H569">
        <v>126.24</v>
      </c>
      <c r="I569">
        <v>6</v>
      </c>
      <c r="J569">
        <v>757.44</v>
      </c>
      <c r="K569" t="str">
        <f t="shared" si="8"/>
        <v>May</v>
      </c>
    </row>
    <row r="570" spans="1:11" x14ac:dyDescent="0.25">
      <c r="A570" s="1" t="s">
        <v>606</v>
      </c>
      <c r="B570" s="2">
        <v>45718</v>
      </c>
      <c r="C570" s="1" t="s">
        <v>34</v>
      </c>
      <c r="D570" s="1" t="s">
        <v>31</v>
      </c>
      <c r="E570" s="1" t="s">
        <v>13</v>
      </c>
      <c r="F570" s="1" t="s">
        <v>42</v>
      </c>
      <c r="G570" s="1" t="s">
        <v>15</v>
      </c>
      <c r="H570">
        <v>228.91</v>
      </c>
      <c r="I570">
        <v>1</v>
      </c>
      <c r="J570">
        <v>228.91</v>
      </c>
      <c r="K570" t="str">
        <f t="shared" si="8"/>
        <v>March</v>
      </c>
    </row>
    <row r="571" spans="1:11" x14ac:dyDescent="0.25">
      <c r="A571" s="1" t="s">
        <v>607</v>
      </c>
      <c r="B571" s="2">
        <v>45792</v>
      </c>
      <c r="C571" s="1" t="s">
        <v>17</v>
      </c>
      <c r="D571" s="1" t="s">
        <v>22</v>
      </c>
      <c r="E571" s="1" t="s">
        <v>41</v>
      </c>
      <c r="F571" s="1" t="s">
        <v>61</v>
      </c>
      <c r="G571" s="1" t="s">
        <v>20</v>
      </c>
      <c r="H571">
        <v>106.62</v>
      </c>
      <c r="I571">
        <v>19</v>
      </c>
      <c r="J571">
        <v>2025.78</v>
      </c>
      <c r="K571" t="str">
        <f t="shared" si="8"/>
        <v>May</v>
      </c>
    </row>
    <row r="572" spans="1:11" x14ac:dyDescent="0.25">
      <c r="A572" s="1" t="s">
        <v>608</v>
      </c>
      <c r="B572" s="2">
        <v>45842</v>
      </c>
      <c r="C572" s="1" t="s">
        <v>38</v>
      </c>
      <c r="D572" s="1" t="s">
        <v>55</v>
      </c>
      <c r="E572" s="1" t="s">
        <v>23</v>
      </c>
      <c r="F572" s="1" t="s">
        <v>32</v>
      </c>
      <c r="G572" s="1" t="s">
        <v>15</v>
      </c>
      <c r="H572">
        <v>143.08000000000001</v>
      </c>
      <c r="I572">
        <v>2</v>
      </c>
      <c r="J572">
        <v>286.16000000000003</v>
      </c>
      <c r="K572" t="str">
        <f t="shared" si="8"/>
        <v>July</v>
      </c>
    </row>
    <row r="573" spans="1:11" x14ac:dyDescent="0.25">
      <c r="A573" s="1" t="s">
        <v>609</v>
      </c>
      <c r="B573" s="2">
        <v>45788</v>
      </c>
      <c r="C573" s="1" t="s">
        <v>25</v>
      </c>
      <c r="D573" s="1" t="s">
        <v>12</v>
      </c>
      <c r="E573" s="1" t="s">
        <v>27</v>
      </c>
      <c r="F573" s="1" t="s">
        <v>19</v>
      </c>
      <c r="G573" s="1" t="s">
        <v>15</v>
      </c>
      <c r="H573">
        <v>202.4</v>
      </c>
      <c r="I573">
        <v>4</v>
      </c>
      <c r="J573">
        <v>809.6</v>
      </c>
      <c r="K573" t="str">
        <f t="shared" si="8"/>
        <v>May</v>
      </c>
    </row>
    <row r="574" spans="1:11" x14ac:dyDescent="0.25">
      <c r="A574" s="1" t="s">
        <v>610</v>
      </c>
      <c r="B574" s="2">
        <v>45918</v>
      </c>
      <c r="C574" s="1" t="s">
        <v>11</v>
      </c>
      <c r="D574" s="1" t="s">
        <v>22</v>
      </c>
      <c r="E574" s="1" t="s">
        <v>23</v>
      </c>
      <c r="F574" s="1" t="s">
        <v>19</v>
      </c>
      <c r="G574" s="1" t="s">
        <v>36</v>
      </c>
      <c r="H574">
        <v>117.24</v>
      </c>
      <c r="I574">
        <v>1</v>
      </c>
      <c r="J574">
        <v>117.24</v>
      </c>
      <c r="K574" t="str">
        <f t="shared" si="8"/>
        <v>September</v>
      </c>
    </row>
    <row r="575" spans="1:11" x14ac:dyDescent="0.25">
      <c r="A575" s="1" t="s">
        <v>611</v>
      </c>
      <c r="B575" s="2">
        <v>45844</v>
      </c>
      <c r="C575" s="1" t="s">
        <v>30</v>
      </c>
      <c r="D575" s="1" t="s">
        <v>26</v>
      </c>
      <c r="E575" s="1" t="s">
        <v>45</v>
      </c>
      <c r="F575" s="1" t="s">
        <v>42</v>
      </c>
      <c r="G575" s="1" t="s">
        <v>20</v>
      </c>
      <c r="H575">
        <v>166.86</v>
      </c>
      <c r="I575">
        <v>13</v>
      </c>
      <c r="J575">
        <v>2169.1799999999998</v>
      </c>
      <c r="K575" t="str">
        <f t="shared" si="8"/>
        <v>July</v>
      </c>
    </row>
    <row r="576" spans="1:11" x14ac:dyDescent="0.25">
      <c r="A576" s="1" t="s">
        <v>612</v>
      </c>
      <c r="B576" s="2">
        <v>45993</v>
      </c>
      <c r="C576" s="1" t="s">
        <v>30</v>
      </c>
      <c r="D576" s="1" t="s">
        <v>35</v>
      </c>
      <c r="E576" s="1" t="s">
        <v>23</v>
      </c>
      <c r="F576" s="1" t="s">
        <v>61</v>
      </c>
      <c r="G576" s="1" t="s">
        <v>20</v>
      </c>
      <c r="H576">
        <v>219.72</v>
      </c>
      <c r="I576">
        <v>14</v>
      </c>
      <c r="J576">
        <v>3076.08</v>
      </c>
      <c r="K576" t="str">
        <f t="shared" si="8"/>
        <v>December</v>
      </c>
    </row>
    <row r="577" spans="1:11" x14ac:dyDescent="0.25">
      <c r="A577" s="1" t="s">
        <v>613</v>
      </c>
      <c r="B577" s="2">
        <v>45821</v>
      </c>
      <c r="C577" s="1" t="s">
        <v>11</v>
      </c>
      <c r="D577" s="1" t="s">
        <v>55</v>
      </c>
      <c r="E577" s="1" t="s">
        <v>13</v>
      </c>
      <c r="F577" s="1" t="s">
        <v>19</v>
      </c>
      <c r="G577" s="1" t="s">
        <v>20</v>
      </c>
      <c r="H577">
        <v>238.89</v>
      </c>
      <c r="I577">
        <v>9</v>
      </c>
      <c r="J577">
        <v>2150.0100000000002</v>
      </c>
      <c r="K577" t="str">
        <f t="shared" si="8"/>
        <v>June</v>
      </c>
    </row>
    <row r="578" spans="1:11" x14ac:dyDescent="0.25">
      <c r="A578" s="1" t="s">
        <v>614</v>
      </c>
      <c r="B578" s="2">
        <v>46002</v>
      </c>
      <c r="C578" s="1" t="s">
        <v>30</v>
      </c>
      <c r="D578" s="1" t="s">
        <v>26</v>
      </c>
      <c r="E578" s="1" t="s">
        <v>18</v>
      </c>
      <c r="F578" s="1" t="s">
        <v>19</v>
      </c>
      <c r="G578" s="1" t="s">
        <v>36</v>
      </c>
      <c r="H578">
        <v>62.36</v>
      </c>
      <c r="I578">
        <v>2</v>
      </c>
      <c r="J578">
        <v>124.72</v>
      </c>
      <c r="K578" t="str">
        <f t="shared" ref="K578:K641" si="9">TEXT(B:B,"MMMM")</f>
        <v>December</v>
      </c>
    </row>
    <row r="579" spans="1:11" x14ac:dyDescent="0.25">
      <c r="A579" s="1" t="s">
        <v>615</v>
      </c>
      <c r="B579" s="2">
        <v>45693</v>
      </c>
      <c r="C579" s="1" t="s">
        <v>34</v>
      </c>
      <c r="D579" s="1" t="s">
        <v>35</v>
      </c>
      <c r="E579" s="1" t="s">
        <v>13</v>
      </c>
      <c r="F579" s="1" t="s">
        <v>19</v>
      </c>
      <c r="G579" s="1" t="s">
        <v>20</v>
      </c>
      <c r="H579">
        <v>233.85</v>
      </c>
      <c r="I579">
        <v>15</v>
      </c>
      <c r="J579">
        <v>3507.75</v>
      </c>
      <c r="K579" t="str">
        <f t="shared" si="9"/>
        <v>February</v>
      </c>
    </row>
    <row r="580" spans="1:11" x14ac:dyDescent="0.25">
      <c r="A580" s="1" t="s">
        <v>616</v>
      </c>
      <c r="B580" s="2">
        <v>45891</v>
      </c>
      <c r="C580" s="1" t="s">
        <v>34</v>
      </c>
      <c r="D580" s="1" t="s">
        <v>26</v>
      </c>
      <c r="E580" s="1" t="s">
        <v>13</v>
      </c>
      <c r="F580" s="1" t="s">
        <v>42</v>
      </c>
      <c r="G580" s="1" t="s">
        <v>36</v>
      </c>
      <c r="H580">
        <v>138.27000000000001</v>
      </c>
      <c r="I580">
        <v>1</v>
      </c>
      <c r="J580">
        <v>138.27000000000001</v>
      </c>
      <c r="K580" t="str">
        <f t="shared" si="9"/>
        <v>August</v>
      </c>
    </row>
    <row r="581" spans="1:11" x14ac:dyDescent="0.25">
      <c r="A581" s="1" t="s">
        <v>617</v>
      </c>
      <c r="B581" s="2">
        <v>45976</v>
      </c>
      <c r="C581" s="1" t="s">
        <v>38</v>
      </c>
      <c r="D581" s="1" t="s">
        <v>35</v>
      </c>
      <c r="E581" s="1" t="s">
        <v>18</v>
      </c>
      <c r="F581" s="1" t="s">
        <v>61</v>
      </c>
      <c r="G581" s="1" t="s">
        <v>15</v>
      </c>
      <c r="H581">
        <v>86.81</v>
      </c>
      <c r="I581">
        <v>8</v>
      </c>
      <c r="J581">
        <v>694.48</v>
      </c>
      <c r="K581" t="str">
        <f t="shared" si="9"/>
        <v>November</v>
      </c>
    </row>
    <row r="582" spans="1:11" x14ac:dyDescent="0.25">
      <c r="A582" s="1" t="s">
        <v>618</v>
      </c>
      <c r="B582" s="2">
        <v>45937</v>
      </c>
      <c r="C582" s="1" t="s">
        <v>30</v>
      </c>
      <c r="D582" s="1" t="s">
        <v>22</v>
      </c>
      <c r="E582" s="1" t="s">
        <v>41</v>
      </c>
      <c r="F582" s="1" t="s">
        <v>19</v>
      </c>
      <c r="G582" s="1" t="s">
        <v>15</v>
      </c>
      <c r="H582">
        <v>131.01</v>
      </c>
      <c r="I582">
        <v>8</v>
      </c>
      <c r="J582">
        <v>1048.08</v>
      </c>
      <c r="K582" t="str">
        <f t="shared" si="9"/>
        <v>October</v>
      </c>
    </row>
    <row r="583" spans="1:11" x14ac:dyDescent="0.25">
      <c r="A583" s="1" t="s">
        <v>619</v>
      </c>
      <c r="B583" s="2">
        <v>45935</v>
      </c>
      <c r="C583" s="1" t="s">
        <v>17</v>
      </c>
      <c r="D583" s="1" t="s">
        <v>12</v>
      </c>
      <c r="E583" s="1" t="s">
        <v>45</v>
      </c>
      <c r="F583" s="1" t="s">
        <v>32</v>
      </c>
      <c r="G583" s="1" t="s">
        <v>15</v>
      </c>
      <c r="H583">
        <v>245.61</v>
      </c>
      <c r="I583">
        <v>12</v>
      </c>
      <c r="J583">
        <v>2947.32</v>
      </c>
      <c r="K583" t="str">
        <f t="shared" si="9"/>
        <v>October</v>
      </c>
    </row>
    <row r="584" spans="1:11" x14ac:dyDescent="0.25">
      <c r="A584" s="1" t="s">
        <v>620</v>
      </c>
      <c r="B584" s="2">
        <v>45994</v>
      </c>
      <c r="C584" s="1" t="s">
        <v>17</v>
      </c>
      <c r="D584" s="1" t="s">
        <v>12</v>
      </c>
      <c r="E584" s="1" t="s">
        <v>13</v>
      </c>
      <c r="F584" s="1" t="s">
        <v>19</v>
      </c>
      <c r="G584" s="1" t="s">
        <v>15</v>
      </c>
      <c r="H584">
        <v>138.38</v>
      </c>
      <c r="I584">
        <v>13</v>
      </c>
      <c r="J584">
        <v>1798.94</v>
      </c>
      <c r="K584" t="str">
        <f t="shared" si="9"/>
        <v>December</v>
      </c>
    </row>
    <row r="585" spans="1:11" x14ac:dyDescent="0.25">
      <c r="A585" s="1" t="s">
        <v>621</v>
      </c>
      <c r="B585" s="2">
        <v>45929</v>
      </c>
      <c r="C585" s="1" t="s">
        <v>38</v>
      </c>
      <c r="D585" s="1" t="s">
        <v>31</v>
      </c>
      <c r="E585" s="1" t="s">
        <v>45</v>
      </c>
      <c r="F585" s="1" t="s">
        <v>14</v>
      </c>
      <c r="G585" s="1" t="s">
        <v>20</v>
      </c>
      <c r="H585">
        <v>102.33</v>
      </c>
      <c r="I585">
        <v>8</v>
      </c>
      <c r="J585">
        <v>818.64</v>
      </c>
      <c r="K585" t="str">
        <f t="shared" si="9"/>
        <v>September</v>
      </c>
    </row>
    <row r="586" spans="1:11" x14ac:dyDescent="0.25">
      <c r="A586" s="1" t="s">
        <v>622</v>
      </c>
      <c r="B586" s="2">
        <v>45801</v>
      </c>
      <c r="C586" s="1" t="s">
        <v>11</v>
      </c>
      <c r="D586" s="1" t="s">
        <v>26</v>
      </c>
      <c r="E586" s="1" t="s">
        <v>18</v>
      </c>
      <c r="F586" s="1" t="s">
        <v>61</v>
      </c>
      <c r="G586" s="1" t="s">
        <v>20</v>
      </c>
      <c r="H586">
        <v>169.35</v>
      </c>
      <c r="I586">
        <v>3</v>
      </c>
      <c r="J586">
        <v>508.05</v>
      </c>
      <c r="K586" t="str">
        <f t="shared" si="9"/>
        <v>May</v>
      </c>
    </row>
    <row r="587" spans="1:11" x14ac:dyDescent="0.25">
      <c r="A587" s="1" t="s">
        <v>623</v>
      </c>
      <c r="B587" s="2">
        <v>45848</v>
      </c>
      <c r="C587" s="1" t="s">
        <v>17</v>
      </c>
      <c r="D587" s="1" t="s">
        <v>22</v>
      </c>
      <c r="E587" s="1" t="s">
        <v>18</v>
      </c>
      <c r="F587" s="1" t="s">
        <v>19</v>
      </c>
      <c r="G587" s="1" t="s">
        <v>20</v>
      </c>
      <c r="H587">
        <v>82.83</v>
      </c>
      <c r="I587">
        <v>15</v>
      </c>
      <c r="J587">
        <v>1242.45</v>
      </c>
      <c r="K587" t="str">
        <f t="shared" si="9"/>
        <v>July</v>
      </c>
    </row>
    <row r="588" spans="1:11" x14ac:dyDescent="0.25">
      <c r="A588" s="1" t="s">
        <v>624</v>
      </c>
      <c r="B588" s="2">
        <v>45726</v>
      </c>
      <c r="C588" s="1" t="s">
        <v>11</v>
      </c>
      <c r="D588" s="1" t="s">
        <v>55</v>
      </c>
      <c r="E588" s="1" t="s">
        <v>18</v>
      </c>
      <c r="F588" s="1" t="s">
        <v>19</v>
      </c>
      <c r="G588" s="1" t="s">
        <v>36</v>
      </c>
      <c r="H588">
        <v>46.69</v>
      </c>
      <c r="I588">
        <v>13</v>
      </c>
      <c r="J588">
        <v>606.97</v>
      </c>
      <c r="K588" t="str">
        <f t="shared" si="9"/>
        <v>March</v>
      </c>
    </row>
    <row r="589" spans="1:11" x14ac:dyDescent="0.25">
      <c r="A589" s="1" t="s">
        <v>625</v>
      </c>
      <c r="B589" s="2">
        <v>45997</v>
      </c>
      <c r="C589" s="1" t="s">
        <v>30</v>
      </c>
      <c r="D589" s="1" t="s">
        <v>35</v>
      </c>
      <c r="E589" s="1" t="s">
        <v>13</v>
      </c>
      <c r="F589" s="1" t="s">
        <v>39</v>
      </c>
      <c r="G589" s="1" t="s">
        <v>36</v>
      </c>
      <c r="H589">
        <v>58.35</v>
      </c>
      <c r="I589">
        <v>5</v>
      </c>
      <c r="J589">
        <v>291.75</v>
      </c>
      <c r="K589" t="str">
        <f t="shared" si="9"/>
        <v>December</v>
      </c>
    </row>
    <row r="590" spans="1:11" x14ac:dyDescent="0.25">
      <c r="A590" s="1" t="s">
        <v>626</v>
      </c>
      <c r="B590" s="2">
        <v>45859</v>
      </c>
      <c r="C590" s="1" t="s">
        <v>34</v>
      </c>
      <c r="D590" s="1" t="s">
        <v>31</v>
      </c>
      <c r="E590" s="1" t="s">
        <v>13</v>
      </c>
      <c r="F590" s="1" t="s">
        <v>14</v>
      </c>
      <c r="G590" s="1" t="s">
        <v>15</v>
      </c>
      <c r="H590">
        <v>58.17</v>
      </c>
      <c r="I590">
        <v>11</v>
      </c>
      <c r="J590">
        <v>639.87</v>
      </c>
      <c r="K590" t="str">
        <f t="shared" si="9"/>
        <v>July</v>
      </c>
    </row>
    <row r="591" spans="1:11" x14ac:dyDescent="0.25">
      <c r="A591" s="1" t="s">
        <v>627</v>
      </c>
      <c r="B591" s="2">
        <v>45761</v>
      </c>
      <c r="C591" s="1" t="s">
        <v>25</v>
      </c>
      <c r="D591" s="1" t="s">
        <v>22</v>
      </c>
      <c r="E591" s="1" t="s">
        <v>23</v>
      </c>
      <c r="F591" s="1" t="s">
        <v>19</v>
      </c>
      <c r="G591" s="1" t="s">
        <v>15</v>
      </c>
      <c r="H591">
        <v>63.42</v>
      </c>
      <c r="I591">
        <v>5</v>
      </c>
      <c r="J591">
        <v>317.10000000000002</v>
      </c>
      <c r="K591" t="str">
        <f t="shared" si="9"/>
        <v>April</v>
      </c>
    </row>
    <row r="592" spans="1:11" x14ac:dyDescent="0.25">
      <c r="A592" s="1" t="s">
        <v>628</v>
      </c>
      <c r="B592" s="2">
        <v>45888</v>
      </c>
      <c r="C592" s="1" t="s">
        <v>34</v>
      </c>
      <c r="D592" s="1" t="s">
        <v>31</v>
      </c>
      <c r="E592" s="1" t="s">
        <v>45</v>
      </c>
      <c r="F592" s="1" t="s">
        <v>42</v>
      </c>
      <c r="G592" s="1" t="s">
        <v>36</v>
      </c>
      <c r="H592">
        <v>60.54</v>
      </c>
      <c r="I592">
        <v>15</v>
      </c>
      <c r="J592">
        <v>908.1</v>
      </c>
      <c r="K592" t="str">
        <f t="shared" si="9"/>
        <v>August</v>
      </c>
    </row>
    <row r="593" spans="1:11" x14ac:dyDescent="0.25">
      <c r="A593" s="1" t="s">
        <v>629</v>
      </c>
      <c r="B593" s="2">
        <v>45764</v>
      </c>
      <c r="C593" s="1" t="s">
        <v>34</v>
      </c>
      <c r="D593" s="1" t="s">
        <v>31</v>
      </c>
      <c r="E593" s="1" t="s">
        <v>13</v>
      </c>
      <c r="F593" s="1" t="s">
        <v>39</v>
      </c>
      <c r="G593" s="1" t="s">
        <v>15</v>
      </c>
      <c r="H593">
        <v>170.99</v>
      </c>
      <c r="I593">
        <v>15</v>
      </c>
      <c r="J593">
        <v>2564.85</v>
      </c>
      <c r="K593" t="str">
        <f t="shared" si="9"/>
        <v>April</v>
      </c>
    </row>
    <row r="594" spans="1:11" x14ac:dyDescent="0.25">
      <c r="A594" s="1" t="s">
        <v>630</v>
      </c>
      <c r="B594" s="2">
        <v>45704</v>
      </c>
      <c r="C594" s="1" t="s">
        <v>17</v>
      </c>
      <c r="D594" s="1" t="s">
        <v>35</v>
      </c>
      <c r="E594" s="1" t="s">
        <v>27</v>
      </c>
      <c r="F594" s="1" t="s">
        <v>28</v>
      </c>
      <c r="G594" s="1" t="s">
        <v>20</v>
      </c>
      <c r="H594">
        <v>70.010000000000005</v>
      </c>
      <c r="I594">
        <v>6</v>
      </c>
      <c r="J594">
        <v>420.06</v>
      </c>
      <c r="K594" t="str">
        <f t="shared" si="9"/>
        <v>February</v>
      </c>
    </row>
    <row r="595" spans="1:11" x14ac:dyDescent="0.25">
      <c r="A595" s="1" t="s">
        <v>631</v>
      </c>
      <c r="B595" s="2">
        <v>45678</v>
      </c>
      <c r="C595" s="1" t="s">
        <v>34</v>
      </c>
      <c r="D595" s="1" t="s">
        <v>26</v>
      </c>
      <c r="E595" s="1" t="s">
        <v>45</v>
      </c>
      <c r="F595" s="1" t="s">
        <v>28</v>
      </c>
      <c r="G595" s="1" t="s">
        <v>15</v>
      </c>
      <c r="H595">
        <v>106.05</v>
      </c>
      <c r="I595">
        <v>7</v>
      </c>
      <c r="J595">
        <v>742.35</v>
      </c>
      <c r="K595" t="str">
        <f t="shared" si="9"/>
        <v>January</v>
      </c>
    </row>
    <row r="596" spans="1:11" x14ac:dyDescent="0.25">
      <c r="A596" s="1" t="s">
        <v>632</v>
      </c>
      <c r="B596" s="2">
        <v>45840</v>
      </c>
      <c r="C596" s="1" t="s">
        <v>25</v>
      </c>
      <c r="D596" s="1" t="s">
        <v>22</v>
      </c>
      <c r="E596" s="1" t="s">
        <v>27</v>
      </c>
      <c r="F596" s="1" t="s">
        <v>32</v>
      </c>
      <c r="G596" s="1" t="s">
        <v>36</v>
      </c>
      <c r="H596">
        <v>227.29</v>
      </c>
      <c r="I596">
        <v>13</v>
      </c>
      <c r="J596">
        <v>2954.77</v>
      </c>
      <c r="K596" t="str">
        <f t="shared" si="9"/>
        <v>July</v>
      </c>
    </row>
    <row r="597" spans="1:11" x14ac:dyDescent="0.25">
      <c r="A597" s="1" t="s">
        <v>633</v>
      </c>
      <c r="B597" s="2">
        <v>45747</v>
      </c>
      <c r="C597" s="1" t="s">
        <v>38</v>
      </c>
      <c r="D597" s="1" t="s">
        <v>31</v>
      </c>
      <c r="E597" s="1" t="s">
        <v>18</v>
      </c>
      <c r="F597" s="1" t="s">
        <v>28</v>
      </c>
      <c r="G597" s="1" t="s">
        <v>20</v>
      </c>
      <c r="H597">
        <v>134.27000000000001</v>
      </c>
      <c r="I597">
        <v>1</v>
      </c>
      <c r="J597">
        <v>134.27000000000001</v>
      </c>
      <c r="K597" t="str">
        <f t="shared" si="9"/>
        <v>March</v>
      </c>
    </row>
    <row r="598" spans="1:11" x14ac:dyDescent="0.25">
      <c r="A598" s="1" t="s">
        <v>634</v>
      </c>
      <c r="B598" s="2">
        <v>45785</v>
      </c>
      <c r="C598" s="1" t="s">
        <v>38</v>
      </c>
      <c r="D598" s="1" t="s">
        <v>22</v>
      </c>
      <c r="E598" s="1" t="s">
        <v>23</v>
      </c>
      <c r="F598" s="1" t="s">
        <v>19</v>
      </c>
      <c r="G598" s="1" t="s">
        <v>15</v>
      </c>
      <c r="H598">
        <v>176.86</v>
      </c>
      <c r="I598">
        <v>4</v>
      </c>
      <c r="J598">
        <v>707.44</v>
      </c>
      <c r="K598" t="str">
        <f t="shared" si="9"/>
        <v>May</v>
      </c>
    </row>
    <row r="599" spans="1:11" x14ac:dyDescent="0.25">
      <c r="A599" s="1" t="s">
        <v>635</v>
      </c>
      <c r="B599" s="2">
        <v>45689</v>
      </c>
      <c r="C599" s="1" t="s">
        <v>30</v>
      </c>
      <c r="D599" s="1" t="s">
        <v>26</v>
      </c>
      <c r="E599" s="1" t="s">
        <v>41</v>
      </c>
      <c r="F599" s="1" t="s">
        <v>32</v>
      </c>
      <c r="G599" s="1" t="s">
        <v>20</v>
      </c>
      <c r="H599">
        <v>67.91</v>
      </c>
      <c r="I599">
        <v>8</v>
      </c>
      <c r="J599">
        <v>543.28</v>
      </c>
      <c r="K599" t="str">
        <f t="shared" si="9"/>
        <v>February</v>
      </c>
    </row>
    <row r="600" spans="1:11" x14ac:dyDescent="0.25">
      <c r="A600" s="1" t="s">
        <v>636</v>
      </c>
      <c r="B600" s="2">
        <v>45980</v>
      </c>
      <c r="C600" s="1" t="s">
        <v>25</v>
      </c>
      <c r="D600" s="1" t="s">
        <v>55</v>
      </c>
      <c r="E600" s="1" t="s">
        <v>13</v>
      </c>
      <c r="F600" s="1" t="s">
        <v>39</v>
      </c>
      <c r="G600" s="1" t="s">
        <v>15</v>
      </c>
      <c r="H600">
        <v>72.3</v>
      </c>
      <c r="I600">
        <v>3</v>
      </c>
      <c r="J600">
        <v>216.9</v>
      </c>
      <c r="K600" t="str">
        <f t="shared" si="9"/>
        <v>November</v>
      </c>
    </row>
    <row r="601" spans="1:11" x14ac:dyDescent="0.25">
      <c r="A601" s="1" t="s">
        <v>637</v>
      </c>
      <c r="B601" s="2">
        <v>45669</v>
      </c>
      <c r="C601" s="1" t="s">
        <v>30</v>
      </c>
      <c r="D601" s="1" t="s">
        <v>12</v>
      </c>
      <c r="E601" s="1" t="s">
        <v>41</v>
      </c>
      <c r="F601" s="1" t="s">
        <v>39</v>
      </c>
      <c r="G601" s="1" t="s">
        <v>15</v>
      </c>
      <c r="H601">
        <v>38.99</v>
      </c>
      <c r="I601">
        <v>3</v>
      </c>
      <c r="J601">
        <v>116.97</v>
      </c>
      <c r="K601" t="str">
        <f t="shared" si="9"/>
        <v>January</v>
      </c>
    </row>
    <row r="602" spans="1:11" x14ac:dyDescent="0.25">
      <c r="A602" s="1" t="s">
        <v>638</v>
      </c>
      <c r="B602" s="2">
        <v>45705</v>
      </c>
      <c r="C602" s="1" t="s">
        <v>11</v>
      </c>
      <c r="D602" s="1" t="s">
        <v>22</v>
      </c>
      <c r="E602" s="1" t="s">
        <v>41</v>
      </c>
      <c r="F602" s="1" t="s">
        <v>19</v>
      </c>
      <c r="G602" s="1" t="s">
        <v>15</v>
      </c>
      <c r="H602">
        <v>67.17</v>
      </c>
      <c r="I602">
        <v>11</v>
      </c>
      <c r="J602">
        <v>738.87</v>
      </c>
      <c r="K602" t="str">
        <f t="shared" si="9"/>
        <v>February</v>
      </c>
    </row>
    <row r="603" spans="1:11" x14ac:dyDescent="0.25">
      <c r="A603" s="1" t="s">
        <v>639</v>
      </c>
      <c r="B603" s="2">
        <v>45951</v>
      </c>
      <c r="C603" s="1" t="s">
        <v>17</v>
      </c>
      <c r="D603" s="1" t="s">
        <v>31</v>
      </c>
      <c r="E603" s="1" t="s">
        <v>41</v>
      </c>
      <c r="F603" s="1" t="s">
        <v>19</v>
      </c>
      <c r="G603" s="1" t="s">
        <v>36</v>
      </c>
      <c r="H603">
        <v>91.29</v>
      </c>
      <c r="I603">
        <v>14</v>
      </c>
      <c r="J603">
        <v>1278.06</v>
      </c>
      <c r="K603" t="str">
        <f t="shared" si="9"/>
        <v>October</v>
      </c>
    </row>
    <row r="604" spans="1:11" x14ac:dyDescent="0.25">
      <c r="A604" s="1" t="s">
        <v>640</v>
      </c>
      <c r="B604" s="2">
        <v>46007</v>
      </c>
      <c r="C604" s="1" t="s">
        <v>30</v>
      </c>
      <c r="D604" s="1" t="s">
        <v>35</v>
      </c>
      <c r="E604" s="1" t="s">
        <v>23</v>
      </c>
      <c r="F604" s="1" t="s">
        <v>14</v>
      </c>
      <c r="G604" s="1" t="s">
        <v>36</v>
      </c>
      <c r="H604">
        <v>68.94</v>
      </c>
      <c r="I604">
        <v>14</v>
      </c>
      <c r="J604">
        <v>965.16</v>
      </c>
      <c r="K604" t="str">
        <f t="shared" si="9"/>
        <v>December</v>
      </c>
    </row>
    <row r="605" spans="1:11" x14ac:dyDescent="0.25">
      <c r="A605" s="1" t="s">
        <v>641</v>
      </c>
      <c r="B605" s="2">
        <v>45801</v>
      </c>
      <c r="C605" s="1" t="s">
        <v>30</v>
      </c>
      <c r="D605" s="1" t="s">
        <v>22</v>
      </c>
      <c r="E605" s="1" t="s">
        <v>18</v>
      </c>
      <c r="F605" s="1" t="s">
        <v>42</v>
      </c>
      <c r="G605" s="1" t="s">
        <v>20</v>
      </c>
      <c r="H605">
        <v>49.51</v>
      </c>
      <c r="I605">
        <v>15</v>
      </c>
      <c r="J605">
        <v>742.65</v>
      </c>
      <c r="K605" t="str">
        <f t="shared" si="9"/>
        <v>May</v>
      </c>
    </row>
    <row r="606" spans="1:11" x14ac:dyDescent="0.25">
      <c r="A606" s="1" t="s">
        <v>642</v>
      </c>
      <c r="B606" s="2">
        <v>45783</v>
      </c>
      <c r="C606" s="1" t="s">
        <v>38</v>
      </c>
      <c r="D606" s="1" t="s">
        <v>31</v>
      </c>
      <c r="E606" s="1" t="s">
        <v>18</v>
      </c>
      <c r="F606" s="1" t="s">
        <v>61</v>
      </c>
      <c r="G606" s="1" t="s">
        <v>15</v>
      </c>
      <c r="H606">
        <v>56.54</v>
      </c>
      <c r="I606">
        <v>10</v>
      </c>
      <c r="J606">
        <v>565.4</v>
      </c>
      <c r="K606" t="str">
        <f t="shared" si="9"/>
        <v>May</v>
      </c>
    </row>
    <row r="607" spans="1:11" x14ac:dyDescent="0.25">
      <c r="A607" s="1" t="s">
        <v>643</v>
      </c>
      <c r="B607" s="2">
        <v>45702</v>
      </c>
      <c r="C607" s="1" t="s">
        <v>38</v>
      </c>
      <c r="D607" s="1" t="s">
        <v>26</v>
      </c>
      <c r="E607" s="1" t="s">
        <v>41</v>
      </c>
      <c r="F607" s="1" t="s">
        <v>14</v>
      </c>
      <c r="G607" s="1" t="s">
        <v>20</v>
      </c>
      <c r="H607">
        <v>131.37</v>
      </c>
      <c r="I607">
        <v>9</v>
      </c>
      <c r="J607">
        <v>1182.33</v>
      </c>
      <c r="K607" t="str">
        <f t="shared" si="9"/>
        <v>February</v>
      </c>
    </row>
    <row r="608" spans="1:11" x14ac:dyDescent="0.25">
      <c r="A608" s="1" t="s">
        <v>644</v>
      </c>
      <c r="B608" s="2">
        <v>45927</v>
      </c>
      <c r="C608" s="1" t="s">
        <v>17</v>
      </c>
      <c r="D608" s="1" t="s">
        <v>55</v>
      </c>
      <c r="E608" s="1" t="s">
        <v>45</v>
      </c>
      <c r="F608" s="1" t="s">
        <v>61</v>
      </c>
      <c r="G608" s="1" t="s">
        <v>20</v>
      </c>
      <c r="H608">
        <v>75.39</v>
      </c>
      <c r="I608">
        <v>8</v>
      </c>
      <c r="J608">
        <v>603.12</v>
      </c>
      <c r="K608" t="str">
        <f t="shared" si="9"/>
        <v>September</v>
      </c>
    </row>
    <row r="609" spans="1:11" x14ac:dyDescent="0.25">
      <c r="A609" s="1" t="s">
        <v>645</v>
      </c>
      <c r="B609" s="2">
        <v>45841</v>
      </c>
      <c r="C609" s="1" t="s">
        <v>25</v>
      </c>
      <c r="D609" s="1" t="s">
        <v>31</v>
      </c>
      <c r="E609" s="1" t="s">
        <v>13</v>
      </c>
      <c r="F609" s="1" t="s">
        <v>42</v>
      </c>
      <c r="G609" s="1" t="s">
        <v>20</v>
      </c>
      <c r="H609">
        <v>110.14</v>
      </c>
      <c r="I609">
        <v>16</v>
      </c>
      <c r="J609">
        <v>1762.24</v>
      </c>
      <c r="K609" t="str">
        <f t="shared" si="9"/>
        <v>July</v>
      </c>
    </row>
    <row r="610" spans="1:11" x14ac:dyDescent="0.25">
      <c r="A610" s="1" t="s">
        <v>646</v>
      </c>
      <c r="B610" s="2">
        <v>45822</v>
      </c>
      <c r="C610" s="1" t="s">
        <v>34</v>
      </c>
      <c r="D610" s="1" t="s">
        <v>26</v>
      </c>
      <c r="E610" s="1" t="s">
        <v>45</v>
      </c>
      <c r="F610" s="1" t="s">
        <v>32</v>
      </c>
      <c r="G610" s="1" t="s">
        <v>20</v>
      </c>
      <c r="H610">
        <v>140.75</v>
      </c>
      <c r="I610">
        <v>13</v>
      </c>
      <c r="J610">
        <v>1829.75</v>
      </c>
      <c r="K610" t="str">
        <f t="shared" si="9"/>
        <v>June</v>
      </c>
    </row>
    <row r="611" spans="1:11" x14ac:dyDescent="0.25">
      <c r="A611" s="1" t="s">
        <v>647</v>
      </c>
      <c r="B611" s="2">
        <v>45770</v>
      </c>
      <c r="C611" s="1" t="s">
        <v>34</v>
      </c>
      <c r="D611" s="1" t="s">
        <v>22</v>
      </c>
      <c r="E611" s="1" t="s">
        <v>41</v>
      </c>
      <c r="F611" s="1" t="s">
        <v>42</v>
      </c>
      <c r="G611" s="1" t="s">
        <v>36</v>
      </c>
      <c r="H611">
        <v>181.89</v>
      </c>
      <c r="I611">
        <v>1</v>
      </c>
      <c r="J611">
        <v>181.89</v>
      </c>
      <c r="K611" t="str">
        <f t="shared" si="9"/>
        <v>April</v>
      </c>
    </row>
    <row r="612" spans="1:11" x14ac:dyDescent="0.25">
      <c r="A612" s="1" t="s">
        <v>648</v>
      </c>
      <c r="B612" s="2">
        <v>45957</v>
      </c>
      <c r="C612" s="1" t="s">
        <v>30</v>
      </c>
      <c r="D612" s="1" t="s">
        <v>22</v>
      </c>
      <c r="E612" s="1" t="s">
        <v>23</v>
      </c>
      <c r="F612" s="1" t="s">
        <v>28</v>
      </c>
      <c r="G612" s="1" t="s">
        <v>15</v>
      </c>
      <c r="H612">
        <v>38.65</v>
      </c>
      <c r="I612">
        <v>8</v>
      </c>
      <c r="J612">
        <v>309.2</v>
      </c>
      <c r="K612" t="str">
        <f t="shared" si="9"/>
        <v>October</v>
      </c>
    </row>
    <row r="613" spans="1:11" x14ac:dyDescent="0.25">
      <c r="A613" s="1" t="s">
        <v>649</v>
      </c>
      <c r="B613" s="2">
        <v>45794</v>
      </c>
      <c r="C613" s="1" t="s">
        <v>17</v>
      </c>
      <c r="D613" s="1" t="s">
        <v>22</v>
      </c>
      <c r="E613" s="1" t="s">
        <v>23</v>
      </c>
      <c r="F613" s="1" t="s">
        <v>42</v>
      </c>
      <c r="G613" s="1" t="s">
        <v>36</v>
      </c>
      <c r="H613">
        <v>205.87</v>
      </c>
      <c r="I613">
        <v>18</v>
      </c>
      <c r="J613">
        <v>3705.66</v>
      </c>
      <c r="K613" t="str">
        <f t="shared" si="9"/>
        <v>May</v>
      </c>
    </row>
    <row r="614" spans="1:11" x14ac:dyDescent="0.25">
      <c r="A614" s="1" t="s">
        <v>650</v>
      </c>
      <c r="B614" s="2">
        <v>45839</v>
      </c>
      <c r="C614" s="1" t="s">
        <v>30</v>
      </c>
      <c r="D614" s="1" t="s">
        <v>26</v>
      </c>
      <c r="E614" s="1" t="s">
        <v>18</v>
      </c>
      <c r="F614" s="1" t="s">
        <v>32</v>
      </c>
      <c r="G614" s="1" t="s">
        <v>20</v>
      </c>
      <c r="H614">
        <v>168.14</v>
      </c>
      <c r="I614">
        <v>6</v>
      </c>
      <c r="J614">
        <v>1008.84</v>
      </c>
      <c r="K614" t="str">
        <f t="shared" si="9"/>
        <v>July</v>
      </c>
    </row>
    <row r="615" spans="1:11" x14ac:dyDescent="0.25">
      <c r="A615" s="1" t="s">
        <v>651</v>
      </c>
      <c r="B615" s="2">
        <v>46015</v>
      </c>
      <c r="C615" s="1" t="s">
        <v>25</v>
      </c>
      <c r="D615" s="1" t="s">
        <v>22</v>
      </c>
      <c r="E615" s="1" t="s">
        <v>27</v>
      </c>
      <c r="F615" s="1" t="s">
        <v>28</v>
      </c>
      <c r="G615" s="1" t="s">
        <v>36</v>
      </c>
      <c r="H615">
        <v>47.99</v>
      </c>
      <c r="I615">
        <v>12</v>
      </c>
      <c r="J615">
        <v>575.88</v>
      </c>
      <c r="K615" t="str">
        <f t="shared" si="9"/>
        <v>December</v>
      </c>
    </row>
    <row r="616" spans="1:11" x14ac:dyDescent="0.25">
      <c r="A616" s="1" t="s">
        <v>652</v>
      </c>
      <c r="B616" s="2">
        <v>45948</v>
      </c>
      <c r="C616" s="1" t="s">
        <v>30</v>
      </c>
      <c r="D616" s="1" t="s">
        <v>55</v>
      </c>
      <c r="E616" s="1" t="s">
        <v>23</v>
      </c>
      <c r="F616" s="1" t="s">
        <v>39</v>
      </c>
      <c r="G616" s="1" t="s">
        <v>36</v>
      </c>
      <c r="H616">
        <v>222.19</v>
      </c>
      <c r="I616">
        <v>19</v>
      </c>
      <c r="J616">
        <v>4221.6099999999997</v>
      </c>
      <c r="K616" t="str">
        <f t="shared" si="9"/>
        <v>October</v>
      </c>
    </row>
    <row r="617" spans="1:11" x14ac:dyDescent="0.25">
      <c r="A617" s="1" t="s">
        <v>653</v>
      </c>
      <c r="B617" s="2">
        <v>45935</v>
      </c>
      <c r="C617" s="1" t="s">
        <v>30</v>
      </c>
      <c r="D617" s="1" t="s">
        <v>31</v>
      </c>
      <c r="E617" s="1" t="s">
        <v>45</v>
      </c>
      <c r="F617" s="1" t="s">
        <v>19</v>
      </c>
      <c r="G617" s="1" t="s">
        <v>15</v>
      </c>
      <c r="H617">
        <v>232.59</v>
      </c>
      <c r="I617">
        <v>10</v>
      </c>
      <c r="J617">
        <v>2325.9</v>
      </c>
      <c r="K617" t="str">
        <f t="shared" si="9"/>
        <v>October</v>
      </c>
    </row>
    <row r="618" spans="1:11" x14ac:dyDescent="0.25">
      <c r="A618" s="1" t="s">
        <v>654</v>
      </c>
      <c r="B618" s="2">
        <v>45777</v>
      </c>
      <c r="C618" s="1" t="s">
        <v>30</v>
      </c>
      <c r="D618" s="1" t="s">
        <v>22</v>
      </c>
      <c r="E618" s="1" t="s">
        <v>18</v>
      </c>
      <c r="F618" s="1" t="s">
        <v>61</v>
      </c>
      <c r="G618" s="1" t="s">
        <v>15</v>
      </c>
      <c r="H618">
        <v>43.44</v>
      </c>
      <c r="I618">
        <v>20</v>
      </c>
      <c r="J618">
        <v>868.8</v>
      </c>
      <c r="K618" t="str">
        <f t="shared" si="9"/>
        <v>April</v>
      </c>
    </row>
    <row r="619" spans="1:11" x14ac:dyDescent="0.25">
      <c r="A619" s="1" t="s">
        <v>655</v>
      </c>
      <c r="B619" s="2">
        <v>45827</v>
      </c>
      <c r="C619" s="1" t="s">
        <v>30</v>
      </c>
      <c r="D619" s="1" t="s">
        <v>26</v>
      </c>
      <c r="E619" s="1" t="s">
        <v>13</v>
      </c>
      <c r="F619" s="1" t="s">
        <v>28</v>
      </c>
      <c r="G619" s="1" t="s">
        <v>15</v>
      </c>
      <c r="H619">
        <v>90.91</v>
      </c>
      <c r="I619">
        <v>20</v>
      </c>
      <c r="J619">
        <v>1818.2</v>
      </c>
      <c r="K619" t="str">
        <f t="shared" si="9"/>
        <v>June</v>
      </c>
    </row>
    <row r="620" spans="1:11" x14ac:dyDescent="0.25">
      <c r="A620" s="1" t="s">
        <v>656</v>
      </c>
      <c r="B620" s="2">
        <v>45823</v>
      </c>
      <c r="C620" s="1" t="s">
        <v>11</v>
      </c>
      <c r="D620" s="1" t="s">
        <v>26</v>
      </c>
      <c r="E620" s="1" t="s">
        <v>18</v>
      </c>
      <c r="F620" s="1" t="s">
        <v>28</v>
      </c>
      <c r="G620" s="1" t="s">
        <v>15</v>
      </c>
      <c r="H620">
        <v>207.36</v>
      </c>
      <c r="I620">
        <v>2</v>
      </c>
      <c r="J620">
        <v>414.72</v>
      </c>
      <c r="K620" t="str">
        <f t="shared" si="9"/>
        <v>June</v>
      </c>
    </row>
    <row r="621" spans="1:11" x14ac:dyDescent="0.25">
      <c r="A621" s="1" t="s">
        <v>657</v>
      </c>
      <c r="B621" s="2">
        <v>45714</v>
      </c>
      <c r="C621" s="1" t="s">
        <v>34</v>
      </c>
      <c r="D621" s="1" t="s">
        <v>22</v>
      </c>
      <c r="E621" s="1" t="s">
        <v>13</v>
      </c>
      <c r="F621" s="1" t="s">
        <v>28</v>
      </c>
      <c r="G621" s="1" t="s">
        <v>20</v>
      </c>
      <c r="H621">
        <v>194.62</v>
      </c>
      <c r="I621">
        <v>17</v>
      </c>
      <c r="J621">
        <v>3308.54</v>
      </c>
      <c r="K621" t="str">
        <f t="shared" si="9"/>
        <v>February</v>
      </c>
    </row>
    <row r="622" spans="1:11" x14ac:dyDescent="0.25">
      <c r="A622" s="1" t="s">
        <v>658</v>
      </c>
      <c r="B622" s="2">
        <v>45860</v>
      </c>
      <c r="C622" s="1" t="s">
        <v>11</v>
      </c>
      <c r="D622" s="1" t="s">
        <v>35</v>
      </c>
      <c r="E622" s="1" t="s">
        <v>13</v>
      </c>
      <c r="F622" s="1" t="s">
        <v>32</v>
      </c>
      <c r="G622" s="1" t="s">
        <v>15</v>
      </c>
      <c r="H622">
        <v>70.59</v>
      </c>
      <c r="I622">
        <v>19</v>
      </c>
      <c r="J622">
        <v>1341.21</v>
      </c>
      <c r="K622" t="str">
        <f t="shared" si="9"/>
        <v>July</v>
      </c>
    </row>
    <row r="623" spans="1:11" x14ac:dyDescent="0.25">
      <c r="A623" s="1" t="s">
        <v>659</v>
      </c>
      <c r="B623" s="2">
        <v>45738</v>
      </c>
      <c r="C623" s="1" t="s">
        <v>17</v>
      </c>
      <c r="D623" s="1" t="s">
        <v>31</v>
      </c>
      <c r="E623" s="1" t="s">
        <v>27</v>
      </c>
      <c r="F623" s="1" t="s">
        <v>32</v>
      </c>
      <c r="G623" s="1" t="s">
        <v>15</v>
      </c>
      <c r="H623">
        <v>76.06</v>
      </c>
      <c r="I623">
        <v>14</v>
      </c>
      <c r="J623">
        <v>1064.8399999999999</v>
      </c>
      <c r="K623" t="str">
        <f t="shared" si="9"/>
        <v>March</v>
      </c>
    </row>
    <row r="624" spans="1:11" x14ac:dyDescent="0.25">
      <c r="A624" s="1" t="s">
        <v>660</v>
      </c>
      <c r="B624" s="2">
        <v>46020</v>
      </c>
      <c r="C624" s="1" t="s">
        <v>17</v>
      </c>
      <c r="D624" s="1" t="s">
        <v>55</v>
      </c>
      <c r="E624" s="1" t="s">
        <v>13</v>
      </c>
      <c r="F624" s="1" t="s">
        <v>14</v>
      </c>
      <c r="G624" s="1" t="s">
        <v>20</v>
      </c>
      <c r="H624">
        <v>111.5</v>
      </c>
      <c r="I624">
        <v>18</v>
      </c>
      <c r="J624">
        <v>2007</v>
      </c>
      <c r="K624" t="str">
        <f t="shared" si="9"/>
        <v>December</v>
      </c>
    </row>
    <row r="625" spans="1:11" x14ac:dyDescent="0.25">
      <c r="A625" s="1" t="s">
        <v>661</v>
      </c>
      <c r="B625" s="2">
        <v>45959</v>
      </c>
      <c r="C625" s="1" t="s">
        <v>38</v>
      </c>
      <c r="D625" s="1" t="s">
        <v>35</v>
      </c>
      <c r="E625" s="1" t="s">
        <v>27</v>
      </c>
      <c r="F625" s="1" t="s">
        <v>28</v>
      </c>
      <c r="G625" s="1" t="s">
        <v>36</v>
      </c>
      <c r="H625">
        <v>136.6</v>
      </c>
      <c r="I625">
        <v>6</v>
      </c>
      <c r="J625">
        <v>819.6</v>
      </c>
      <c r="K625" t="str">
        <f t="shared" si="9"/>
        <v>October</v>
      </c>
    </row>
    <row r="626" spans="1:11" x14ac:dyDescent="0.25">
      <c r="A626" s="1" t="s">
        <v>662</v>
      </c>
      <c r="B626" s="2">
        <v>45723</v>
      </c>
      <c r="C626" s="1" t="s">
        <v>17</v>
      </c>
      <c r="D626" s="1" t="s">
        <v>22</v>
      </c>
      <c r="E626" s="1" t="s">
        <v>27</v>
      </c>
      <c r="F626" s="1" t="s">
        <v>42</v>
      </c>
      <c r="G626" s="1" t="s">
        <v>36</v>
      </c>
      <c r="H626">
        <v>166.02</v>
      </c>
      <c r="I626">
        <v>6</v>
      </c>
      <c r="J626">
        <v>996.12</v>
      </c>
      <c r="K626" t="str">
        <f t="shared" si="9"/>
        <v>March</v>
      </c>
    </row>
    <row r="627" spans="1:11" x14ac:dyDescent="0.25">
      <c r="A627" s="1" t="s">
        <v>663</v>
      </c>
      <c r="B627" s="2">
        <v>45948</v>
      </c>
      <c r="C627" s="1" t="s">
        <v>30</v>
      </c>
      <c r="D627" s="1" t="s">
        <v>55</v>
      </c>
      <c r="E627" s="1" t="s">
        <v>13</v>
      </c>
      <c r="F627" s="1" t="s">
        <v>39</v>
      </c>
      <c r="G627" s="1" t="s">
        <v>20</v>
      </c>
      <c r="H627">
        <v>111.16</v>
      </c>
      <c r="I627">
        <v>2</v>
      </c>
      <c r="J627">
        <v>222.32</v>
      </c>
      <c r="K627" t="str">
        <f t="shared" si="9"/>
        <v>October</v>
      </c>
    </row>
    <row r="628" spans="1:11" x14ac:dyDescent="0.25">
      <c r="A628" s="1" t="s">
        <v>664</v>
      </c>
      <c r="B628" s="2">
        <v>45771</v>
      </c>
      <c r="C628" s="1" t="s">
        <v>11</v>
      </c>
      <c r="D628" s="1" t="s">
        <v>31</v>
      </c>
      <c r="E628" s="1" t="s">
        <v>23</v>
      </c>
      <c r="F628" s="1" t="s">
        <v>32</v>
      </c>
      <c r="G628" s="1" t="s">
        <v>20</v>
      </c>
      <c r="H628">
        <v>131.76</v>
      </c>
      <c r="I628">
        <v>19</v>
      </c>
      <c r="J628">
        <v>2503.44</v>
      </c>
      <c r="K628" t="str">
        <f t="shared" si="9"/>
        <v>April</v>
      </c>
    </row>
    <row r="629" spans="1:11" x14ac:dyDescent="0.25">
      <c r="A629" s="1" t="s">
        <v>665</v>
      </c>
      <c r="B629" s="2">
        <v>45697</v>
      </c>
      <c r="C629" s="1" t="s">
        <v>34</v>
      </c>
      <c r="D629" s="1" t="s">
        <v>35</v>
      </c>
      <c r="E629" s="1" t="s">
        <v>23</v>
      </c>
      <c r="F629" s="1" t="s">
        <v>28</v>
      </c>
      <c r="G629" s="1" t="s">
        <v>15</v>
      </c>
      <c r="H629">
        <v>194.44</v>
      </c>
      <c r="I629">
        <v>8</v>
      </c>
      <c r="J629">
        <v>1555.52</v>
      </c>
      <c r="K629" t="str">
        <f t="shared" si="9"/>
        <v>February</v>
      </c>
    </row>
    <row r="630" spans="1:11" x14ac:dyDescent="0.25">
      <c r="A630" s="1" t="s">
        <v>666</v>
      </c>
      <c r="B630" s="2">
        <v>46020</v>
      </c>
      <c r="C630" s="1" t="s">
        <v>38</v>
      </c>
      <c r="D630" s="1" t="s">
        <v>22</v>
      </c>
      <c r="E630" s="1" t="s">
        <v>13</v>
      </c>
      <c r="F630" s="1" t="s">
        <v>14</v>
      </c>
      <c r="G630" s="1" t="s">
        <v>15</v>
      </c>
      <c r="H630">
        <v>38.07</v>
      </c>
      <c r="I630">
        <v>11</v>
      </c>
      <c r="J630">
        <v>418.77</v>
      </c>
      <c r="K630" t="str">
        <f t="shared" si="9"/>
        <v>December</v>
      </c>
    </row>
    <row r="631" spans="1:11" x14ac:dyDescent="0.25">
      <c r="A631" s="1" t="s">
        <v>667</v>
      </c>
      <c r="B631" s="2">
        <v>46012</v>
      </c>
      <c r="C631" s="1" t="s">
        <v>34</v>
      </c>
      <c r="D631" s="1" t="s">
        <v>35</v>
      </c>
      <c r="E631" s="1" t="s">
        <v>45</v>
      </c>
      <c r="F631" s="1" t="s">
        <v>28</v>
      </c>
      <c r="G631" s="1" t="s">
        <v>15</v>
      </c>
      <c r="H631">
        <v>85.54</v>
      </c>
      <c r="I631">
        <v>3</v>
      </c>
      <c r="J631">
        <v>256.62</v>
      </c>
      <c r="K631" t="str">
        <f t="shared" si="9"/>
        <v>December</v>
      </c>
    </row>
    <row r="632" spans="1:11" x14ac:dyDescent="0.25">
      <c r="A632" s="1" t="s">
        <v>668</v>
      </c>
      <c r="B632" s="2">
        <v>45682</v>
      </c>
      <c r="C632" s="1" t="s">
        <v>38</v>
      </c>
      <c r="D632" s="1" t="s">
        <v>12</v>
      </c>
      <c r="E632" s="1" t="s">
        <v>41</v>
      </c>
      <c r="F632" s="1" t="s">
        <v>14</v>
      </c>
      <c r="G632" s="1" t="s">
        <v>36</v>
      </c>
      <c r="H632">
        <v>186.94</v>
      </c>
      <c r="I632">
        <v>13</v>
      </c>
      <c r="J632">
        <v>2430.2199999999998</v>
      </c>
      <c r="K632" t="str">
        <f t="shared" si="9"/>
        <v>January</v>
      </c>
    </row>
    <row r="633" spans="1:11" x14ac:dyDescent="0.25">
      <c r="A633" s="1" t="s">
        <v>669</v>
      </c>
      <c r="B633" s="2">
        <v>45910</v>
      </c>
      <c r="C633" s="1" t="s">
        <v>34</v>
      </c>
      <c r="D633" s="1" t="s">
        <v>55</v>
      </c>
      <c r="E633" s="1" t="s">
        <v>41</v>
      </c>
      <c r="F633" s="1" t="s">
        <v>19</v>
      </c>
      <c r="G633" s="1" t="s">
        <v>36</v>
      </c>
      <c r="H633">
        <v>226.95</v>
      </c>
      <c r="I633">
        <v>13</v>
      </c>
      <c r="J633">
        <v>2950.35</v>
      </c>
      <c r="K633" t="str">
        <f t="shared" si="9"/>
        <v>September</v>
      </c>
    </row>
    <row r="634" spans="1:11" x14ac:dyDescent="0.25">
      <c r="A634" s="1" t="s">
        <v>670</v>
      </c>
      <c r="B634" s="2">
        <v>45953</v>
      </c>
      <c r="C634" s="1" t="s">
        <v>30</v>
      </c>
      <c r="D634" s="1" t="s">
        <v>31</v>
      </c>
      <c r="E634" s="1" t="s">
        <v>45</v>
      </c>
      <c r="F634" s="1" t="s">
        <v>39</v>
      </c>
      <c r="G634" s="1" t="s">
        <v>15</v>
      </c>
      <c r="H634">
        <v>142.57</v>
      </c>
      <c r="I634">
        <v>8</v>
      </c>
      <c r="J634">
        <v>1140.56</v>
      </c>
      <c r="K634" t="str">
        <f t="shared" si="9"/>
        <v>October</v>
      </c>
    </row>
    <row r="635" spans="1:11" x14ac:dyDescent="0.25">
      <c r="A635" s="1" t="s">
        <v>671</v>
      </c>
      <c r="B635" s="2">
        <v>45808</v>
      </c>
      <c r="C635" s="1" t="s">
        <v>34</v>
      </c>
      <c r="D635" s="1" t="s">
        <v>35</v>
      </c>
      <c r="E635" s="1" t="s">
        <v>45</v>
      </c>
      <c r="F635" s="1" t="s">
        <v>19</v>
      </c>
      <c r="G635" s="1" t="s">
        <v>36</v>
      </c>
      <c r="H635">
        <v>147.06</v>
      </c>
      <c r="I635">
        <v>1</v>
      </c>
      <c r="J635">
        <v>147.06</v>
      </c>
      <c r="K635" t="str">
        <f t="shared" si="9"/>
        <v>May</v>
      </c>
    </row>
    <row r="636" spans="1:11" x14ac:dyDescent="0.25">
      <c r="A636" s="1" t="s">
        <v>672</v>
      </c>
      <c r="B636" s="2">
        <v>45745</v>
      </c>
      <c r="C636" s="1" t="s">
        <v>30</v>
      </c>
      <c r="D636" s="1" t="s">
        <v>12</v>
      </c>
      <c r="E636" s="1" t="s">
        <v>45</v>
      </c>
      <c r="F636" s="1" t="s">
        <v>42</v>
      </c>
      <c r="G636" s="1" t="s">
        <v>15</v>
      </c>
      <c r="H636">
        <v>53.58</v>
      </c>
      <c r="I636">
        <v>13</v>
      </c>
      <c r="J636">
        <v>696.54</v>
      </c>
      <c r="K636" t="str">
        <f t="shared" si="9"/>
        <v>March</v>
      </c>
    </row>
    <row r="637" spans="1:11" x14ac:dyDescent="0.25">
      <c r="A637" s="1" t="s">
        <v>673</v>
      </c>
      <c r="B637" s="2">
        <v>45831</v>
      </c>
      <c r="C637" s="1" t="s">
        <v>25</v>
      </c>
      <c r="D637" s="1" t="s">
        <v>31</v>
      </c>
      <c r="E637" s="1" t="s">
        <v>27</v>
      </c>
      <c r="F637" s="1" t="s">
        <v>19</v>
      </c>
      <c r="G637" s="1" t="s">
        <v>36</v>
      </c>
      <c r="H637">
        <v>128.43</v>
      </c>
      <c r="I637">
        <v>20</v>
      </c>
      <c r="J637">
        <v>2568.6</v>
      </c>
      <c r="K637" t="str">
        <f t="shared" si="9"/>
        <v>June</v>
      </c>
    </row>
    <row r="638" spans="1:11" x14ac:dyDescent="0.25">
      <c r="A638" s="1" t="s">
        <v>674</v>
      </c>
      <c r="B638" s="2">
        <v>45992</v>
      </c>
      <c r="C638" s="1" t="s">
        <v>25</v>
      </c>
      <c r="D638" s="1" t="s">
        <v>31</v>
      </c>
      <c r="E638" s="1" t="s">
        <v>23</v>
      </c>
      <c r="F638" s="1" t="s">
        <v>19</v>
      </c>
      <c r="G638" s="1" t="s">
        <v>15</v>
      </c>
      <c r="H638">
        <v>147.18</v>
      </c>
      <c r="I638">
        <v>6</v>
      </c>
      <c r="J638">
        <v>883.08</v>
      </c>
      <c r="K638" t="str">
        <f t="shared" si="9"/>
        <v>December</v>
      </c>
    </row>
    <row r="639" spans="1:11" x14ac:dyDescent="0.25">
      <c r="A639" s="1" t="s">
        <v>675</v>
      </c>
      <c r="B639" s="2">
        <v>45827</v>
      </c>
      <c r="C639" s="1" t="s">
        <v>30</v>
      </c>
      <c r="D639" s="1" t="s">
        <v>31</v>
      </c>
      <c r="E639" s="1" t="s">
        <v>27</v>
      </c>
      <c r="F639" s="1" t="s">
        <v>42</v>
      </c>
      <c r="G639" s="1" t="s">
        <v>20</v>
      </c>
      <c r="H639">
        <v>83.34</v>
      </c>
      <c r="I639">
        <v>7</v>
      </c>
      <c r="J639">
        <v>583.38</v>
      </c>
      <c r="K639" t="str">
        <f t="shared" si="9"/>
        <v>June</v>
      </c>
    </row>
    <row r="640" spans="1:11" x14ac:dyDescent="0.25">
      <c r="A640" s="1" t="s">
        <v>676</v>
      </c>
      <c r="B640" s="2">
        <v>45934</v>
      </c>
      <c r="C640" s="1" t="s">
        <v>17</v>
      </c>
      <c r="D640" s="1" t="s">
        <v>35</v>
      </c>
      <c r="E640" s="1" t="s">
        <v>13</v>
      </c>
      <c r="F640" s="1" t="s">
        <v>14</v>
      </c>
      <c r="G640" s="1" t="s">
        <v>15</v>
      </c>
      <c r="H640">
        <v>89.23</v>
      </c>
      <c r="I640">
        <v>9</v>
      </c>
      <c r="J640">
        <v>803.07</v>
      </c>
      <c r="K640" t="str">
        <f t="shared" si="9"/>
        <v>October</v>
      </c>
    </row>
    <row r="641" spans="1:11" x14ac:dyDescent="0.25">
      <c r="A641" s="1" t="s">
        <v>677</v>
      </c>
      <c r="B641" s="2">
        <v>45683</v>
      </c>
      <c r="C641" s="1" t="s">
        <v>25</v>
      </c>
      <c r="D641" s="1" t="s">
        <v>55</v>
      </c>
      <c r="E641" s="1" t="s">
        <v>41</v>
      </c>
      <c r="F641" s="1" t="s">
        <v>14</v>
      </c>
      <c r="G641" s="1" t="s">
        <v>15</v>
      </c>
      <c r="H641">
        <v>113</v>
      </c>
      <c r="I641">
        <v>13</v>
      </c>
      <c r="J641">
        <v>1469</v>
      </c>
      <c r="K641" t="str">
        <f t="shared" si="9"/>
        <v>January</v>
      </c>
    </row>
    <row r="642" spans="1:11" x14ac:dyDescent="0.25">
      <c r="A642" s="1" t="s">
        <v>678</v>
      </c>
      <c r="B642" s="2">
        <v>45842</v>
      </c>
      <c r="C642" s="1" t="s">
        <v>38</v>
      </c>
      <c r="D642" s="1" t="s">
        <v>22</v>
      </c>
      <c r="E642" s="1" t="s">
        <v>13</v>
      </c>
      <c r="F642" s="1" t="s">
        <v>39</v>
      </c>
      <c r="G642" s="1" t="s">
        <v>20</v>
      </c>
      <c r="H642">
        <v>34.42</v>
      </c>
      <c r="I642">
        <v>1</v>
      </c>
      <c r="J642">
        <v>34.42</v>
      </c>
      <c r="K642" t="str">
        <f t="shared" ref="K642:K705" si="10">TEXT(B:B,"MMMM")</f>
        <v>July</v>
      </c>
    </row>
    <row r="643" spans="1:11" x14ac:dyDescent="0.25">
      <c r="A643" s="1" t="s">
        <v>679</v>
      </c>
      <c r="B643" s="2">
        <v>45978</v>
      </c>
      <c r="C643" s="1" t="s">
        <v>38</v>
      </c>
      <c r="D643" s="1" t="s">
        <v>26</v>
      </c>
      <c r="E643" s="1" t="s">
        <v>45</v>
      </c>
      <c r="F643" s="1" t="s">
        <v>19</v>
      </c>
      <c r="G643" s="1" t="s">
        <v>15</v>
      </c>
      <c r="H643">
        <v>100.86</v>
      </c>
      <c r="I643">
        <v>20</v>
      </c>
      <c r="J643">
        <v>2017.2</v>
      </c>
      <c r="K643" t="str">
        <f t="shared" si="10"/>
        <v>November</v>
      </c>
    </row>
    <row r="644" spans="1:11" x14ac:dyDescent="0.25">
      <c r="A644" s="1" t="s">
        <v>680</v>
      </c>
      <c r="B644" s="2">
        <v>45745</v>
      </c>
      <c r="C644" s="1" t="s">
        <v>11</v>
      </c>
      <c r="D644" s="1" t="s">
        <v>31</v>
      </c>
      <c r="E644" s="1" t="s">
        <v>45</v>
      </c>
      <c r="F644" s="1" t="s">
        <v>32</v>
      </c>
      <c r="G644" s="1" t="s">
        <v>36</v>
      </c>
      <c r="H644">
        <v>76.52</v>
      </c>
      <c r="I644">
        <v>10</v>
      </c>
      <c r="J644">
        <v>765.2</v>
      </c>
      <c r="K644" t="str">
        <f t="shared" si="10"/>
        <v>March</v>
      </c>
    </row>
    <row r="645" spans="1:11" x14ac:dyDescent="0.25">
      <c r="A645" s="1" t="s">
        <v>681</v>
      </c>
      <c r="B645" s="2">
        <v>45899</v>
      </c>
      <c r="C645" s="1" t="s">
        <v>17</v>
      </c>
      <c r="D645" s="1" t="s">
        <v>35</v>
      </c>
      <c r="E645" s="1" t="s">
        <v>45</v>
      </c>
      <c r="F645" s="1" t="s">
        <v>28</v>
      </c>
      <c r="G645" s="1" t="s">
        <v>20</v>
      </c>
      <c r="H645">
        <v>102.05</v>
      </c>
      <c r="I645">
        <v>16</v>
      </c>
      <c r="J645">
        <v>1632.8</v>
      </c>
      <c r="K645" t="str">
        <f t="shared" si="10"/>
        <v>August</v>
      </c>
    </row>
    <row r="646" spans="1:11" x14ac:dyDescent="0.25">
      <c r="A646" s="1" t="s">
        <v>682</v>
      </c>
      <c r="B646" s="2">
        <v>45856</v>
      </c>
      <c r="C646" s="1" t="s">
        <v>34</v>
      </c>
      <c r="D646" s="1" t="s">
        <v>31</v>
      </c>
      <c r="E646" s="1" t="s">
        <v>13</v>
      </c>
      <c r="F646" s="1" t="s">
        <v>14</v>
      </c>
      <c r="G646" s="1" t="s">
        <v>36</v>
      </c>
      <c r="H646">
        <v>56.35</v>
      </c>
      <c r="I646">
        <v>6</v>
      </c>
      <c r="J646">
        <v>338.1</v>
      </c>
      <c r="K646" t="str">
        <f t="shared" si="10"/>
        <v>July</v>
      </c>
    </row>
    <row r="647" spans="1:11" x14ac:dyDescent="0.25">
      <c r="A647" s="1" t="s">
        <v>683</v>
      </c>
      <c r="B647" s="2">
        <v>45680</v>
      </c>
      <c r="C647" s="1" t="s">
        <v>38</v>
      </c>
      <c r="D647" s="1" t="s">
        <v>31</v>
      </c>
      <c r="E647" s="1" t="s">
        <v>13</v>
      </c>
      <c r="F647" s="1" t="s">
        <v>14</v>
      </c>
      <c r="G647" s="1" t="s">
        <v>36</v>
      </c>
      <c r="H647">
        <v>225.92</v>
      </c>
      <c r="I647">
        <v>9</v>
      </c>
      <c r="J647">
        <v>2033.28</v>
      </c>
      <c r="K647" t="str">
        <f t="shared" si="10"/>
        <v>January</v>
      </c>
    </row>
    <row r="648" spans="1:11" x14ac:dyDescent="0.25">
      <c r="A648" s="1" t="s">
        <v>684</v>
      </c>
      <c r="B648" s="2">
        <v>45946</v>
      </c>
      <c r="C648" s="1" t="s">
        <v>30</v>
      </c>
      <c r="D648" s="1" t="s">
        <v>12</v>
      </c>
      <c r="E648" s="1" t="s">
        <v>27</v>
      </c>
      <c r="F648" s="1" t="s">
        <v>19</v>
      </c>
      <c r="G648" s="1" t="s">
        <v>15</v>
      </c>
      <c r="H648">
        <v>160.59</v>
      </c>
      <c r="I648">
        <v>2</v>
      </c>
      <c r="J648">
        <v>321.18</v>
      </c>
      <c r="K648" t="str">
        <f t="shared" si="10"/>
        <v>October</v>
      </c>
    </row>
    <row r="649" spans="1:11" x14ac:dyDescent="0.25">
      <c r="A649" s="1" t="s">
        <v>685</v>
      </c>
      <c r="B649" s="2">
        <v>46000</v>
      </c>
      <c r="C649" s="1" t="s">
        <v>25</v>
      </c>
      <c r="D649" s="1" t="s">
        <v>31</v>
      </c>
      <c r="E649" s="1" t="s">
        <v>18</v>
      </c>
      <c r="F649" s="1" t="s">
        <v>14</v>
      </c>
      <c r="G649" s="1" t="s">
        <v>20</v>
      </c>
      <c r="H649">
        <v>179.4</v>
      </c>
      <c r="I649">
        <v>12</v>
      </c>
      <c r="J649">
        <v>2152.8000000000002</v>
      </c>
      <c r="K649" t="str">
        <f t="shared" si="10"/>
        <v>December</v>
      </c>
    </row>
    <row r="650" spans="1:11" x14ac:dyDescent="0.25">
      <c r="A650" s="1" t="s">
        <v>686</v>
      </c>
      <c r="B650" s="2">
        <v>45689</v>
      </c>
      <c r="C650" s="1" t="s">
        <v>25</v>
      </c>
      <c r="D650" s="1" t="s">
        <v>31</v>
      </c>
      <c r="E650" s="1" t="s">
        <v>18</v>
      </c>
      <c r="F650" s="1" t="s">
        <v>28</v>
      </c>
      <c r="G650" s="1" t="s">
        <v>36</v>
      </c>
      <c r="H650">
        <v>203.62</v>
      </c>
      <c r="I650">
        <v>13</v>
      </c>
      <c r="J650">
        <v>2647.06</v>
      </c>
      <c r="K650" t="str">
        <f t="shared" si="10"/>
        <v>February</v>
      </c>
    </row>
    <row r="651" spans="1:11" x14ac:dyDescent="0.25">
      <c r="A651" s="1" t="s">
        <v>687</v>
      </c>
      <c r="B651" s="2">
        <v>45951</v>
      </c>
      <c r="C651" s="1" t="s">
        <v>38</v>
      </c>
      <c r="D651" s="1" t="s">
        <v>35</v>
      </c>
      <c r="E651" s="1" t="s">
        <v>45</v>
      </c>
      <c r="F651" s="1" t="s">
        <v>61</v>
      </c>
      <c r="G651" s="1" t="s">
        <v>20</v>
      </c>
      <c r="H651">
        <v>139.66</v>
      </c>
      <c r="I651">
        <v>8</v>
      </c>
      <c r="J651">
        <v>1117.28</v>
      </c>
      <c r="K651" t="str">
        <f t="shared" si="10"/>
        <v>October</v>
      </c>
    </row>
    <row r="652" spans="1:11" x14ac:dyDescent="0.25">
      <c r="A652" s="1" t="s">
        <v>688</v>
      </c>
      <c r="B652" s="2">
        <v>45675</v>
      </c>
      <c r="C652" s="1" t="s">
        <v>25</v>
      </c>
      <c r="D652" s="1" t="s">
        <v>55</v>
      </c>
      <c r="E652" s="1" t="s">
        <v>18</v>
      </c>
      <c r="F652" s="1" t="s">
        <v>28</v>
      </c>
      <c r="G652" s="1" t="s">
        <v>20</v>
      </c>
      <c r="H652">
        <v>49.12</v>
      </c>
      <c r="I652">
        <v>17</v>
      </c>
      <c r="J652">
        <v>835.04</v>
      </c>
      <c r="K652" t="str">
        <f t="shared" si="10"/>
        <v>January</v>
      </c>
    </row>
    <row r="653" spans="1:11" x14ac:dyDescent="0.25">
      <c r="A653" s="1" t="s">
        <v>689</v>
      </c>
      <c r="B653" s="2">
        <v>45733</v>
      </c>
      <c r="C653" s="1" t="s">
        <v>38</v>
      </c>
      <c r="D653" s="1" t="s">
        <v>26</v>
      </c>
      <c r="E653" s="1" t="s">
        <v>23</v>
      </c>
      <c r="F653" s="1" t="s">
        <v>14</v>
      </c>
      <c r="G653" s="1" t="s">
        <v>15</v>
      </c>
      <c r="H653">
        <v>148.16</v>
      </c>
      <c r="I653">
        <v>4</v>
      </c>
      <c r="J653">
        <v>592.64</v>
      </c>
      <c r="K653" t="str">
        <f t="shared" si="10"/>
        <v>March</v>
      </c>
    </row>
    <row r="654" spans="1:11" x14ac:dyDescent="0.25">
      <c r="A654" s="1" t="s">
        <v>690</v>
      </c>
      <c r="B654" s="2">
        <v>45722</v>
      </c>
      <c r="C654" s="1" t="s">
        <v>38</v>
      </c>
      <c r="D654" s="1" t="s">
        <v>22</v>
      </c>
      <c r="E654" s="1" t="s">
        <v>27</v>
      </c>
      <c r="F654" s="1" t="s">
        <v>61</v>
      </c>
      <c r="G654" s="1" t="s">
        <v>15</v>
      </c>
      <c r="H654">
        <v>159.11000000000001</v>
      </c>
      <c r="I654">
        <v>2</v>
      </c>
      <c r="J654">
        <v>318.22000000000003</v>
      </c>
      <c r="K654" t="str">
        <f t="shared" si="10"/>
        <v>March</v>
      </c>
    </row>
    <row r="655" spans="1:11" x14ac:dyDescent="0.25">
      <c r="A655" s="1" t="s">
        <v>691</v>
      </c>
      <c r="B655" s="2">
        <v>45979</v>
      </c>
      <c r="C655" s="1" t="s">
        <v>25</v>
      </c>
      <c r="D655" s="1" t="s">
        <v>35</v>
      </c>
      <c r="E655" s="1" t="s">
        <v>13</v>
      </c>
      <c r="F655" s="1" t="s">
        <v>28</v>
      </c>
      <c r="G655" s="1" t="s">
        <v>15</v>
      </c>
      <c r="H655">
        <v>194</v>
      </c>
      <c r="I655">
        <v>5</v>
      </c>
      <c r="J655">
        <v>970</v>
      </c>
      <c r="K655" t="str">
        <f t="shared" si="10"/>
        <v>November</v>
      </c>
    </row>
    <row r="656" spans="1:11" x14ac:dyDescent="0.25">
      <c r="A656" s="1" t="s">
        <v>692</v>
      </c>
      <c r="B656" s="2">
        <v>45702</v>
      </c>
      <c r="C656" s="1" t="s">
        <v>25</v>
      </c>
      <c r="D656" s="1" t="s">
        <v>31</v>
      </c>
      <c r="E656" s="1" t="s">
        <v>18</v>
      </c>
      <c r="F656" s="1" t="s">
        <v>32</v>
      </c>
      <c r="G656" s="1" t="s">
        <v>36</v>
      </c>
      <c r="H656">
        <v>124.97</v>
      </c>
      <c r="I656">
        <v>13</v>
      </c>
      <c r="J656">
        <v>1624.61</v>
      </c>
      <c r="K656" t="str">
        <f t="shared" si="10"/>
        <v>February</v>
      </c>
    </row>
    <row r="657" spans="1:11" x14ac:dyDescent="0.25">
      <c r="A657" s="1" t="s">
        <v>693</v>
      </c>
      <c r="B657" s="2">
        <v>45924</v>
      </c>
      <c r="C657" s="1" t="s">
        <v>11</v>
      </c>
      <c r="D657" s="1" t="s">
        <v>12</v>
      </c>
      <c r="E657" s="1" t="s">
        <v>18</v>
      </c>
      <c r="F657" s="1" t="s">
        <v>42</v>
      </c>
      <c r="G657" s="1" t="s">
        <v>20</v>
      </c>
      <c r="H657">
        <v>58.07</v>
      </c>
      <c r="I657">
        <v>15</v>
      </c>
      <c r="J657">
        <v>871.05</v>
      </c>
      <c r="K657" t="str">
        <f t="shared" si="10"/>
        <v>September</v>
      </c>
    </row>
    <row r="658" spans="1:11" x14ac:dyDescent="0.25">
      <c r="A658" s="1" t="s">
        <v>694</v>
      </c>
      <c r="B658" s="2">
        <v>45872</v>
      </c>
      <c r="C658" s="1" t="s">
        <v>38</v>
      </c>
      <c r="D658" s="1" t="s">
        <v>26</v>
      </c>
      <c r="E658" s="1" t="s">
        <v>23</v>
      </c>
      <c r="F658" s="1" t="s">
        <v>42</v>
      </c>
      <c r="G658" s="1" t="s">
        <v>20</v>
      </c>
      <c r="H658">
        <v>92.43</v>
      </c>
      <c r="I658">
        <v>4</v>
      </c>
      <c r="J658">
        <v>369.72</v>
      </c>
      <c r="K658" t="str">
        <f t="shared" si="10"/>
        <v>August</v>
      </c>
    </row>
    <row r="659" spans="1:11" x14ac:dyDescent="0.25">
      <c r="A659" s="1" t="s">
        <v>695</v>
      </c>
      <c r="B659" s="2">
        <v>45956</v>
      </c>
      <c r="C659" s="1" t="s">
        <v>11</v>
      </c>
      <c r="D659" s="1" t="s">
        <v>55</v>
      </c>
      <c r="E659" s="1" t="s">
        <v>45</v>
      </c>
      <c r="F659" s="1" t="s">
        <v>39</v>
      </c>
      <c r="G659" s="1" t="s">
        <v>36</v>
      </c>
      <c r="H659">
        <v>109.88</v>
      </c>
      <c r="I659">
        <v>4</v>
      </c>
      <c r="J659">
        <v>439.52</v>
      </c>
      <c r="K659" t="str">
        <f t="shared" si="10"/>
        <v>October</v>
      </c>
    </row>
    <row r="660" spans="1:11" x14ac:dyDescent="0.25">
      <c r="A660" s="1" t="s">
        <v>696</v>
      </c>
      <c r="B660" s="2">
        <v>45932</v>
      </c>
      <c r="C660" s="1" t="s">
        <v>38</v>
      </c>
      <c r="D660" s="1" t="s">
        <v>35</v>
      </c>
      <c r="E660" s="1" t="s">
        <v>41</v>
      </c>
      <c r="F660" s="1" t="s">
        <v>28</v>
      </c>
      <c r="G660" s="1" t="s">
        <v>36</v>
      </c>
      <c r="H660">
        <v>172.1</v>
      </c>
      <c r="I660">
        <v>12</v>
      </c>
      <c r="J660">
        <v>2065.1999999999998</v>
      </c>
      <c r="K660" t="str">
        <f t="shared" si="10"/>
        <v>October</v>
      </c>
    </row>
    <row r="661" spans="1:11" x14ac:dyDescent="0.25">
      <c r="A661" s="1" t="s">
        <v>697</v>
      </c>
      <c r="B661" s="2">
        <v>45950</v>
      </c>
      <c r="C661" s="1" t="s">
        <v>38</v>
      </c>
      <c r="D661" s="1" t="s">
        <v>22</v>
      </c>
      <c r="E661" s="1" t="s">
        <v>23</v>
      </c>
      <c r="F661" s="1" t="s">
        <v>32</v>
      </c>
      <c r="G661" s="1" t="s">
        <v>36</v>
      </c>
      <c r="H661">
        <v>155.57</v>
      </c>
      <c r="I661">
        <v>20</v>
      </c>
      <c r="J661">
        <v>3111.4</v>
      </c>
      <c r="K661" t="str">
        <f t="shared" si="10"/>
        <v>October</v>
      </c>
    </row>
    <row r="662" spans="1:11" x14ac:dyDescent="0.25">
      <c r="A662" s="1" t="s">
        <v>698</v>
      </c>
      <c r="B662" s="2">
        <v>45731</v>
      </c>
      <c r="C662" s="1" t="s">
        <v>25</v>
      </c>
      <c r="D662" s="1" t="s">
        <v>12</v>
      </c>
      <c r="E662" s="1" t="s">
        <v>27</v>
      </c>
      <c r="F662" s="1" t="s">
        <v>61</v>
      </c>
      <c r="G662" s="1" t="s">
        <v>15</v>
      </c>
      <c r="H662">
        <v>108.34</v>
      </c>
      <c r="I662">
        <v>20</v>
      </c>
      <c r="J662">
        <v>2166.8000000000002</v>
      </c>
      <c r="K662" t="str">
        <f t="shared" si="10"/>
        <v>March</v>
      </c>
    </row>
    <row r="663" spans="1:11" x14ac:dyDescent="0.25">
      <c r="A663" s="1" t="s">
        <v>699</v>
      </c>
      <c r="B663" s="2">
        <v>45860</v>
      </c>
      <c r="C663" s="1" t="s">
        <v>17</v>
      </c>
      <c r="D663" s="1" t="s">
        <v>26</v>
      </c>
      <c r="E663" s="1" t="s">
        <v>45</v>
      </c>
      <c r="F663" s="1" t="s">
        <v>28</v>
      </c>
      <c r="G663" s="1" t="s">
        <v>36</v>
      </c>
      <c r="H663">
        <v>247.03</v>
      </c>
      <c r="I663">
        <v>11</v>
      </c>
      <c r="J663">
        <v>2717.33</v>
      </c>
      <c r="K663" t="str">
        <f t="shared" si="10"/>
        <v>July</v>
      </c>
    </row>
    <row r="664" spans="1:11" x14ac:dyDescent="0.25">
      <c r="A664" s="1" t="s">
        <v>700</v>
      </c>
      <c r="B664" s="2">
        <v>45795</v>
      </c>
      <c r="C664" s="1" t="s">
        <v>11</v>
      </c>
      <c r="D664" s="1" t="s">
        <v>35</v>
      </c>
      <c r="E664" s="1" t="s">
        <v>13</v>
      </c>
      <c r="F664" s="1" t="s">
        <v>32</v>
      </c>
      <c r="G664" s="1" t="s">
        <v>36</v>
      </c>
      <c r="H664">
        <v>163.27000000000001</v>
      </c>
      <c r="I664">
        <v>12</v>
      </c>
      <c r="J664">
        <v>1959.24</v>
      </c>
      <c r="K664" t="str">
        <f t="shared" si="10"/>
        <v>May</v>
      </c>
    </row>
    <row r="665" spans="1:11" x14ac:dyDescent="0.25">
      <c r="A665" s="1" t="s">
        <v>701</v>
      </c>
      <c r="B665" s="2">
        <v>45909</v>
      </c>
      <c r="C665" s="1" t="s">
        <v>30</v>
      </c>
      <c r="D665" s="1" t="s">
        <v>26</v>
      </c>
      <c r="E665" s="1" t="s">
        <v>13</v>
      </c>
      <c r="F665" s="1" t="s">
        <v>28</v>
      </c>
      <c r="G665" s="1" t="s">
        <v>36</v>
      </c>
      <c r="H665">
        <v>82.19</v>
      </c>
      <c r="I665">
        <v>4</v>
      </c>
      <c r="J665">
        <v>328.76</v>
      </c>
      <c r="K665" t="str">
        <f t="shared" si="10"/>
        <v>September</v>
      </c>
    </row>
    <row r="666" spans="1:11" x14ac:dyDescent="0.25">
      <c r="A666" s="1" t="s">
        <v>702</v>
      </c>
      <c r="B666" s="2">
        <v>45822</v>
      </c>
      <c r="C666" s="1" t="s">
        <v>17</v>
      </c>
      <c r="D666" s="1" t="s">
        <v>31</v>
      </c>
      <c r="E666" s="1" t="s">
        <v>18</v>
      </c>
      <c r="F666" s="1" t="s">
        <v>28</v>
      </c>
      <c r="G666" s="1" t="s">
        <v>15</v>
      </c>
      <c r="H666">
        <v>52.39</v>
      </c>
      <c r="I666">
        <v>9</v>
      </c>
      <c r="J666">
        <v>471.51</v>
      </c>
      <c r="K666" t="str">
        <f t="shared" si="10"/>
        <v>June</v>
      </c>
    </row>
    <row r="667" spans="1:11" x14ac:dyDescent="0.25">
      <c r="A667" s="1" t="s">
        <v>703</v>
      </c>
      <c r="B667" s="2">
        <v>45754</v>
      </c>
      <c r="C667" s="1" t="s">
        <v>30</v>
      </c>
      <c r="D667" s="1" t="s">
        <v>31</v>
      </c>
      <c r="E667" s="1" t="s">
        <v>27</v>
      </c>
      <c r="F667" s="1" t="s">
        <v>61</v>
      </c>
      <c r="G667" s="1" t="s">
        <v>20</v>
      </c>
      <c r="H667">
        <v>63.63</v>
      </c>
      <c r="I667">
        <v>15</v>
      </c>
      <c r="J667">
        <v>954.45</v>
      </c>
      <c r="K667" t="str">
        <f t="shared" si="10"/>
        <v>April</v>
      </c>
    </row>
    <row r="668" spans="1:11" x14ac:dyDescent="0.25">
      <c r="A668" s="1" t="s">
        <v>704</v>
      </c>
      <c r="B668" s="2">
        <v>45849</v>
      </c>
      <c r="C668" s="1" t="s">
        <v>25</v>
      </c>
      <c r="D668" s="1" t="s">
        <v>26</v>
      </c>
      <c r="E668" s="1" t="s">
        <v>45</v>
      </c>
      <c r="F668" s="1" t="s">
        <v>32</v>
      </c>
      <c r="G668" s="1" t="s">
        <v>20</v>
      </c>
      <c r="H668">
        <v>84.11</v>
      </c>
      <c r="I668">
        <v>2</v>
      </c>
      <c r="J668">
        <v>168.22</v>
      </c>
      <c r="K668" t="str">
        <f t="shared" si="10"/>
        <v>July</v>
      </c>
    </row>
    <row r="669" spans="1:11" x14ac:dyDescent="0.25">
      <c r="A669" s="1" t="s">
        <v>705</v>
      </c>
      <c r="B669" s="2">
        <v>45917</v>
      </c>
      <c r="C669" s="1" t="s">
        <v>30</v>
      </c>
      <c r="D669" s="1" t="s">
        <v>55</v>
      </c>
      <c r="E669" s="1" t="s">
        <v>18</v>
      </c>
      <c r="F669" s="1" t="s">
        <v>19</v>
      </c>
      <c r="G669" s="1" t="s">
        <v>15</v>
      </c>
      <c r="H669">
        <v>65.349999999999994</v>
      </c>
      <c r="I669">
        <v>13</v>
      </c>
      <c r="J669">
        <v>849.55</v>
      </c>
      <c r="K669" t="str">
        <f t="shared" si="10"/>
        <v>September</v>
      </c>
    </row>
    <row r="670" spans="1:11" x14ac:dyDescent="0.25">
      <c r="A670" s="1" t="s">
        <v>706</v>
      </c>
      <c r="B670" s="2">
        <v>45756</v>
      </c>
      <c r="C670" s="1" t="s">
        <v>11</v>
      </c>
      <c r="D670" s="1" t="s">
        <v>26</v>
      </c>
      <c r="E670" s="1" t="s">
        <v>45</v>
      </c>
      <c r="F670" s="1" t="s">
        <v>61</v>
      </c>
      <c r="G670" s="1" t="s">
        <v>15</v>
      </c>
      <c r="H670">
        <v>71.040000000000006</v>
      </c>
      <c r="I670">
        <v>7</v>
      </c>
      <c r="J670">
        <v>497.28</v>
      </c>
      <c r="K670" t="str">
        <f t="shared" si="10"/>
        <v>April</v>
      </c>
    </row>
    <row r="671" spans="1:11" x14ac:dyDescent="0.25">
      <c r="A671" s="1" t="s">
        <v>707</v>
      </c>
      <c r="B671" s="2">
        <v>45842</v>
      </c>
      <c r="C671" s="1" t="s">
        <v>34</v>
      </c>
      <c r="D671" s="1" t="s">
        <v>35</v>
      </c>
      <c r="E671" s="1" t="s">
        <v>41</v>
      </c>
      <c r="F671" s="1" t="s">
        <v>42</v>
      </c>
      <c r="G671" s="1" t="s">
        <v>36</v>
      </c>
      <c r="H671">
        <v>92.72</v>
      </c>
      <c r="I671">
        <v>7</v>
      </c>
      <c r="J671">
        <v>649.04</v>
      </c>
      <c r="K671" t="str">
        <f t="shared" si="10"/>
        <v>July</v>
      </c>
    </row>
    <row r="672" spans="1:11" x14ac:dyDescent="0.25">
      <c r="A672" s="1" t="s">
        <v>708</v>
      </c>
      <c r="B672" s="2">
        <v>45983</v>
      </c>
      <c r="C672" s="1" t="s">
        <v>17</v>
      </c>
      <c r="D672" s="1" t="s">
        <v>22</v>
      </c>
      <c r="E672" s="1" t="s">
        <v>23</v>
      </c>
      <c r="F672" s="1" t="s">
        <v>32</v>
      </c>
      <c r="G672" s="1" t="s">
        <v>36</v>
      </c>
      <c r="H672">
        <v>68.14</v>
      </c>
      <c r="I672">
        <v>4</v>
      </c>
      <c r="J672">
        <v>272.56</v>
      </c>
      <c r="K672" t="str">
        <f t="shared" si="10"/>
        <v>November</v>
      </c>
    </row>
    <row r="673" spans="1:11" x14ac:dyDescent="0.25">
      <c r="A673" s="1" t="s">
        <v>709</v>
      </c>
      <c r="B673" s="2">
        <v>45962</v>
      </c>
      <c r="C673" s="1" t="s">
        <v>30</v>
      </c>
      <c r="D673" s="1" t="s">
        <v>31</v>
      </c>
      <c r="E673" s="1" t="s">
        <v>18</v>
      </c>
      <c r="F673" s="1" t="s">
        <v>42</v>
      </c>
      <c r="G673" s="1" t="s">
        <v>36</v>
      </c>
      <c r="H673">
        <v>227.29</v>
      </c>
      <c r="I673">
        <v>15</v>
      </c>
      <c r="J673">
        <v>3409.35</v>
      </c>
      <c r="K673" t="str">
        <f t="shared" si="10"/>
        <v>November</v>
      </c>
    </row>
    <row r="674" spans="1:11" x14ac:dyDescent="0.25">
      <c r="A674" s="1" t="s">
        <v>710</v>
      </c>
      <c r="B674" s="2">
        <v>45834</v>
      </c>
      <c r="C674" s="1" t="s">
        <v>34</v>
      </c>
      <c r="D674" s="1" t="s">
        <v>12</v>
      </c>
      <c r="E674" s="1" t="s">
        <v>27</v>
      </c>
      <c r="F674" s="1" t="s">
        <v>19</v>
      </c>
      <c r="G674" s="1" t="s">
        <v>36</v>
      </c>
      <c r="H674">
        <v>47.65</v>
      </c>
      <c r="I674">
        <v>6</v>
      </c>
      <c r="J674">
        <v>285.89999999999998</v>
      </c>
      <c r="K674" t="str">
        <f t="shared" si="10"/>
        <v>June</v>
      </c>
    </row>
    <row r="675" spans="1:11" x14ac:dyDescent="0.25">
      <c r="A675" s="1" t="s">
        <v>711</v>
      </c>
      <c r="B675" s="2">
        <v>45672</v>
      </c>
      <c r="C675" s="1" t="s">
        <v>11</v>
      </c>
      <c r="D675" s="1" t="s">
        <v>26</v>
      </c>
      <c r="E675" s="1" t="s">
        <v>18</v>
      </c>
      <c r="F675" s="1" t="s">
        <v>39</v>
      </c>
      <c r="G675" s="1" t="s">
        <v>15</v>
      </c>
      <c r="H675">
        <v>145.38999999999999</v>
      </c>
      <c r="I675">
        <v>13</v>
      </c>
      <c r="J675">
        <v>1890.07</v>
      </c>
      <c r="K675" t="str">
        <f t="shared" si="10"/>
        <v>January</v>
      </c>
    </row>
    <row r="676" spans="1:11" x14ac:dyDescent="0.25">
      <c r="A676" s="1" t="s">
        <v>712</v>
      </c>
      <c r="B676" s="2">
        <v>45771</v>
      </c>
      <c r="C676" s="1" t="s">
        <v>17</v>
      </c>
      <c r="D676" s="1" t="s">
        <v>26</v>
      </c>
      <c r="E676" s="1" t="s">
        <v>13</v>
      </c>
      <c r="F676" s="1" t="s">
        <v>28</v>
      </c>
      <c r="G676" s="1" t="s">
        <v>36</v>
      </c>
      <c r="H676">
        <v>120.29</v>
      </c>
      <c r="I676">
        <v>8</v>
      </c>
      <c r="J676">
        <v>962.32</v>
      </c>
      <c r="K676" t="str">
        <f t="shared" si="10"/>
        <v>April</v>
      </c>
    </row>
    <row r="677" spans="1:11" x14ac:dyDescent="0.25">
      <c r="A677" s="1" t="s">
        <v>713</v>
      </c>
      <c r="B677" s="2">
        <v>45920</v>
      </c>
      <c r="C677" s="1" t="s">
        <v>17</v>
      </c>
      <c r="D677" s="1" t="s">
        <v>22</v>
      </c>
      <c r="E677" s="1" t="s">
        <v>41</v>
      </c>
      <c r="F677" s="1" t="s">
        <v>14</v>
      </c>
      <c r="G677" s="1" t="s">
        <v>20</v>
      </c>
      <c r="H677">
        <v>246.12</v>
      </c>
      <c r="I677">
        <v>1</v>
      </c>
      <c r="J677">
        <v>246.12</v>
      </c>
      <c r="K677" t="str">
        <f t="shared" si="10"/>
        <v>September</v>
      </c>
    </row>
    <row r="678" spans="1:11" x14ac:dyDescent="0.25">
      <c r="A678" s="1" t="s">
        <v>714</v>
      </c>
      <c r="B678" s="2">
        <v>45746</v>
      </c>
      <c r="C678" s="1" t="s">
        <v>11</v>
      </c>
      <c r="D678" s="1" t="s">
        <v>26</v>
      </c>
      <c r="E678" s="1" t="s">
        <v>13</v>
      </c>
      <c r="F678" s="1" t="s">
        <v>42</v>
      </c>
      <c r="G678" s="1" t="s">
        <v>36</v>
      </c>
      <c r="H678">
        <v>54.65</v>
      </c>
      <c r="I678">
        <v>20</v>
      </c>
      <c r="J678">
        <v>1093</v>
      </c>
      <c r="K678" t="str">
        <f t="shared" si="10"/>
        <v>March</v>
      </c>
    </row>
    <row r="679" spans="1:11" x14ac:dyDescent="0.25">
      <c r="A679" s="1" t="s">
        <v>715</v>
      </c>
      <c r="B679" s="2">
        <v>46022</v>
      </c>
      <c r="C679" s="1" t="s">
        <v>38</v>
      </c>
      <c r="D679" s="1" t="s">
        <v>31</v>
      </c>
      <c r="E679" s="1" t="s">
        <v>13</v>
      </c>
      <c r="F679" s="1" t="s">
        <v>61</v>
      </c>
      <c r="G679" s="1" t="s">
        <v>36</v>
      </c>
      <c r="H679">
        <v>117.53</v>
      </c>
      <c r="I679">
        <v>9</v>
      </c>
      <c r="J679">
        <v>1057.77</v>
      </c>
      <c r="K679" t="str">
        <f t="shared" si="10"/>
        <v>December</v>
      </c>
    </row>
    <row r="680" spans="1:11" x14ac:dyDescent="0.25">
      <c r="A680" s="1" t="s">
        <v>716</v>
      </c>
      <c r="B680" s="2">
        <v>45769</v>
      </c>
      <c r="C680" s="1" t="s">
        <v>34</v>
      </c>
      <c r="D680" s="1" t="s">
        <v>12</v>
      </c>
      <c r="E680" s="1" t="s">
        <v>18</v>
      </c>
      <c r="F680" s="1" t="s">
        <v>39</v>
      </c>
      <c r="G680" s="1" t="s">
        <v>20</v>
      </c>
      <c r="H680">
        <v>243.28</v>
      </c>
      <c r="I680">
        <v>15</v>
      </c>
      <c r="J680">
        <v>3649.2</v>
      </c>
      <c r="K680" t="str">
        <f t="shared" si="10"/>
        <v>April</v>
      </c>
    </row>
    <row r="681" spans="1:11" x14ac:dyDescent="0.25">
      <c r="A681" s="1" t="s">
        <v>717</v>
      </c>
      <c r="B681" s="2">
        <v>45861</v>
      </c>
      <c r="C681" s="1" t="s">
        <v>11</v>
      </c>
      <c r="D681" s="1" t="s">
        <v>22</v>
      </c>
      <c r="E681" s="1" t="s">
        <v>18</v>
      </c>
      <c r="F681" s="1" t="s">
        <v>28</v>
      </c>
      <c r="G681" s="1" t="s">
        <v>36</v>
      </c>
      <c r="H681">
        <v>220.41</v>
      </c>
      <c r="I681">
        <v>19</v>
      </c>
      <c r="J681">
        <v>4187.79</v>
      </c>
      <c r="K681" t="str">
        <f t="shared" si="10"/>
        <v>July</v>
      </c>
    </row>
    <row r="682" spans="1:11" x14ac:dyDescent="0.25">
      <c r="A682" s="1" t="s">
        <v>718</v>
      </c>
      <c r="B682" s="2">
        <v>45945</v>
      </c>
      <c r="C682" s="1" t="s">
        <v>25</v>
      </c>
      <c r="D682" s="1" t="s">
        <v>35</v>
      </c>
      <c r="E682" s="1" t="s">
        <v>13</v>
      </c>
      <c r="F682" s="1" t="s">
        <v>28</v>
      </c>
      <c r="G682" s="1" t="s">
        <v>15</v>
      </c>
      <c r="H682">
        <v>209.76</v>
      </c>
      <c r="I682">
        <v>20</v>
      </c>
      <c r="J682">
        <v>4195.2</v>
      </c>
      <c r="K682" t="str">
        <f t="shared" si="10"/>
        <v>October</v>
      </c>
    </row>
    <row r="683" spans="1:11" x14ac:dyDescent="0.25">
      <c r="A683" s="1" t="s">
        <v>719</v>
      </c>
      <c r="B683" s="2">
        <v>45904</v>
      </c>
      <c r="C683" s="1" t="s">
        <v>34</v>
      </c>
      <c r="D683" s="1" t="s">
        <v>35</v>
      </c>
      <c r="E683" s="1" t="s">
        <v>27</v>
      </c>
      <c r="F683" s="1" t="s">
        <v>32</v>
      </c>
      <c r="G683" s="1" t="s">
        <v>36</v>
      </c>
      <c r="H683">
        <v>86.74</v>
      </c>
      <c r="I683">
        <v>3</v>
      </c>
      <c r="J683">
        <v>260.22000000000003</v>
      </c>
      <c r="K683" t="str">
        <f t="shared" si="10"/>
        <v>September</v>
      </c>
    </row>
    <row r="684" spans="1:11" x14ac:dyDescent="0.25">
      <c r="A684" s="1" t="s">
        <v>720</v>
      </c>
      <c r="B684" s="2">
        <v>45791</v>
      </c>
      <c r="C684" s="1" t="s">
        <v>30</v>
      </c>
      <c r="D684" s="1" t="s">
        <v>26</v>
      </c>
      <c r="E684" s="1" t="s">
        <v>18</v>
      </c>
      <c r="F684" s="1" t="s">
        <v>39</v>
      </c>
      <c r="G684" s="1" t="s">
        <v>15</v>
      </c>
      <c r="H684">
        <v>67.599999999999994</v>
      </c>
      <c r="I684">
        <v>10</v>
      </c>
      <c r="J684">
        <v>676</v>
      </c>
      <c r="K684" t="str">
        <f t="shared" si="10"/>
        <v>May</v>
      </c>
    </row>
    <row r="685" spans="1:11" x14ac:dyDescent="0.25">
      <c r="A685" s="1" t="s">
        <v>721</v>
      </c>
      <c r="B685" s="2">
        <v>45687</v>
      </c>
      <c r="C685" s="1" t="s">
        <v>38</v>
      </c>
      <c r="D685" s="1" t="s">
        <v>12</v>
      </c>
      <c r="E685" s="1" t="s">
        <v>13</v>
      </c>
      <c r="F685" s="1" t="s">
        <v>28</v>
      </c>
      <c r="G685" s="1" t="s">
        <v>15</v>
      </c>
      <c r="H685">
        <v>177.1</v>
      </c>
      <c r="I685">
        <v>20</v>
      </c>
      <c r="J685">
        <v>3542</v>
      </c>
      <c r="K685" t="str">
        <f t="shared" si="10"/>
        <v>January</v>
      </c>
    </row>
    <row r="686" spans="1:11" x14ac:dyDescent="0.25">
      <c r="A686" s="1" t="s">
        <v>722</v>
      </c>
      <c r="B686" s="2">
        <v>45671</v>
      </c>
      <c r="C686" s="1" t="s">
        <v>34</v>
      </c>
      <c r="D686" s="1" t="s">
        <v>35</v>
      </c>
      <c r="E686" s="1" t="s">
        <v>41</v>
      </c>
      <c r="F686" s="1" t="s">
        <v>61</v>
      </c>
      <c r="G686" s="1" t="s">
        <v>36</v>
      </c>
      <c r="H686">
        <v>234.46</v>
      </c>
      <c r="I686">
        <v>16</v>
      </c>
      <c r="J686">
        <v>3751.36</v>
      </c>
      <c r="K686" t="str">
        <f t="shared" si="10"/>
        <v>January</v>
      </c>
    </row>
    <row r="687" spans="1:11" x14ac:dyDescent="0.25">
      <c r="A687" s="1" t="s">
        <v>723</v>
      </c>
      <c r="B687" s="2">
        <v>45676</v>
      </c>
      <c r="C687" s="1" t="s">
        <v>17</v>
      </c>
      <c r="D687" s="1" t="s">
        <v>55</v>
      </c>
      <c r="E687" s="1" t="s">
        <v>23</v>
      </c>
      <c r="F687" s="1" t="s">
        <v>32</v>
      </c>
      <c r="G687" s="1" t="s">
        <v>20</v>
      </c>
      <c r="H687">
        <v>152.49</v>
      </c>
      <c r="I687">
        <v>19</v>
      </c>
      <c r="J687">
        <v>2897.31</v>
      </c>
      <c r="K687" t="str">
        <f t="shared" si="10"/>
        <v>January</v>
      </c>
    </row>
    <row r="688" spans="1:11" x14ac:dyDescent="0.25">
      <c r="A688" s="1" t="s">
        <v>724</v>
      </c>
      <c r="B688" s="2">
        <v>45771</v>
      </c>
      <c r="C688" s="1" t="s">
        <v>17</v>
      </c>
      <c r="D688" s="1" t="s">
        <v>31</v>
      </c>
      <c r="E688" s="1" t="s">
        <v>27</v>
      </c>
      <c r="F688" s="1" t="s">
        <v>32</v>
      </c>
      <c r="G688" s="1" t="s">
        <v>20</v>
      </c>
      <c r="H688">
        <v>155.75</v>
      </c>
      <c r="I688">
        <v>18</v>
      </c>
      <c r="J688">
        <v>2803.5</v>
      </c>
      <c r="K688" t="str">
        <f t="shared" si="10"/>
        <v>April</v>
      </c>
    </row>
    <row r="689" spans="1:11" x14ac:dyDescent="0.25">
      <c r="A689" s="1" t="s">
        <v>725</v>
      </c>
      <c r="B689" s="2">
        <v>45811</v>
      </c>
      <c r="C689" s="1" t="s">
        <v>17</v>
      </c>
      <c r="D689" s="1" t="s">
        <v>55</v>
      </c>
      <c r="E689" s="1" t="s">
        <v>23</v>
      </c>
      <c r="F689" s="1" t="s">
        <v>32</v>
      </c>
      <c r="G689" s="1" t="s">
        <v>15</v>
      </c>
      <c r="H689">
        <v>91.6</v>
      </c>
      <c r="I689">
        <v>6</v>
      </c>
      <c r="J689">
        <v>549.6</v>
      </c>
      <c r="K689" t="str">
        <f t="shared" si="10"/>
        <v>June</v>
      </c>
    </row>
    <row r="690" spans="1:11" x14ac:dyDescent="0.25">
      <c r="A690" s="1" t="s">
        <v>726</v>
      </c>
      <c r="B690" s="2">
        <v>45899</v>
      </c>
      <c r="C690" s="1" t="s">
        <v>17</v>
      </c>
      <c r="D690" s="1" t="s">
        <v>35</v>
      </c>
      <c r="E690" s="1" t="s">
        <v>27</v>
      </c>
      <c r="F690" s="1" t="s">
        <v>39</v>
      </c>
      <c r="G690" s="1" t="s">
        <v>20</v>
      </c>
      <c r="H690">
        <v>199.29</v>
      </c>
      <c r="I690">
        <v>5</v>
      </c>
      <c r="J690">
        <v>996.45</v>
      </c>
      <c r="K690" t="str">
        <f t="shared" si="10"/>
        <v>August</v>
      </c>
    </row>
    <row r="691" spans="1:11" x14ac:dyDescent="0.25">
      <c r="A691" s="1" t="s">
        <v>727</v>
      </c>
      <c r="B691" s="2">
        <v>45751</v>
      </c>
      <c r="C691" s="1" t="s">
        <v>17</v>
      </c>
      <c r="D691" s="1" t="s">
        <v>22</v>
      </c>
      <c r="E691" s="1" t="s">
        <v>23</v>
      </c>
      <c r="F691" s="1" t="s">
        <v>32</v>
      </c>
      <c r="G691" s="1" t="s">
        <v>15</v>
      </c>
      <c r="H691">
        <v>71.150000000000006</v>
      </c>
      <c r="I691">
        <v>11</v>
      </c>
      <c r="J691">
        <v>782.65</v>
      </c>
      <c r="K691" t="str">
        <f t="shared" si="10"/>
        <v>April</v>
      </c>
    </row>
    <row r="692" spans="1:11" x14ac:dyDescent="0.25">
      <c r="A692" s="1" t="s">
        <v>728</v>
      </c>
      <c r="B692" s="2">
        <v>45815</v>
      </c>
      <c r="C692" s="1" t="s">
        <v>34</v>
      </c>
      <c r="D692" s="1" t="s">
        <v>35</v>
      </c>
      <c r="E692" s="1" t="s">
        <v>13</v>
      </c>
      <c r="F692" s="1" t="s">
        <v>42</v>
      </c>
      <c r="G692" s="1" t="s">
        <v>36</v>
      </c>
      <c r="H692">
        <v>101.21</v>
      </c>
      <c r="I692">
        <v>14</v>
      </c>
      <c r="J692">
        <v>1416.94</v>
      </c>
      <c r="K692" t="str">
        <f t="shared" si="10"/>
        <v>June</v>
      </c>
    </row>
    <row r="693" spans="1:11" x14ac:dyDescent="0.25">
      <c r="A693" s="1" t="s">
        <v>729</v>
      </c>
      <c r="B693" s="2">
        <v>45895</v>
      </c>
      <c r="C693" s="1" t="s">
        <v>38</v>
      </c>
      <c r="D693" s="1" t="s">
        <v>22</v>
      </c>
      <c r="E693" s="1" t="s">
        <v>27</v>
      </c>
      <c r="F693" s="1" t="s">
        <v>42</v>
      </c>
      <c r="G693" s="1" t="s">
        <v>20</v>
      </c>
      <c r="H693">
        <v>123.6</v>
      </c>
      <c r="I693">
        <v>4</v>
      </c>
      <c r="J693">
        <v>494.4</v>
      </c>
      <c r="K693" t="str">
        <f t="shared" si="10"/>
        <v>August</v>
      </c>
    </row>
    <row r="694" spans="1:11" x14ac:dyDescent="0.25">
      <c r="A694" s="1" t="s">
        <v>730</v>
      </c>
      <c r="B694" s="2">
        <v>45975</v>
      </c>
      <c r="C694" s="1" t="s">
        <v>38</v>
      </c>
      <c r="D694" s="1" t="s">
        <v>26</v>
      </c>
      <c r="E694" s="1" t="s">
        <v>18</v>
      </c>
      <c r="F694" s="1" t="s">
        <v>19</v>
      </c>
      <c r="G694" s="1" t="s">
        <v>20</v>
      </c>
      <c r="H694">
        <v>141.66999999999999</v>
      </c>
      <c r="I694">
        <v>3</v>
      </c>
      <c r="J694">
        <v>425.01</v>
      </c>
      <c r="K694" t="str">
        <f t="shared" si="10"/>
        <v>November</v>
      </c>
    </row>
    <row r="695" spans="1:11" x14ac:dyDescent="0.25">
      <c r="A695" s="1" t="s">
        <v>731</v>
      </c>
      <c r="B695" s="2">
        <v>45853</v>
      </c>
      <c r="C695" s="1" t="s">
        <v>34</v>
      </c>
      <c r="D695" s="1" t="s">
        <v>31</v>
      </c>
      <c r="E695" s="1" t="s">
        <v>45</v>
      </c>
      <c r="F695" s="1" t="s">
        <v>39</v>
      </c>
      <c r="G695" s="1" t="s">
        <v>15</v>
      </c>
      <c r="H695">
        <v>83.33</v>
      </c>
      <c r="I695">
        <v>17</v>
      </c>
      <c r="J695">
        <v>1416.61</v>
      </c>
      <c r="K695" t="str">
        <f t="shared" si="10"/>
        <v>July</v>
      </c>
    </row>
    <row r="696" spans="1:11" x14ac:dyDescent="0.25">
      <c r="A696" s="1" t="s">
        <v>732</v>
      </c>
      <c r="B696" s="2">
        <v>45728</v>
      </c>
      <c r="C696" s="1" t="s">
        <v>34</v>
      </c>
      <c r="D696" s="1" t="s">
        <v>31</v>
      </c>
      <c r="E696" s="1" t="s">
        <v>18</v>
      </c>
      <c r="F696" s="1" t="s">
        <v>61</v>
      </c>
      <c r="G696" s="1" t="s">
        <v>15</v>
      </c>
      <c r="H696">
        <v>55.26</v>
      </c>
      <c r="I696">
        <v>7</v>
      </c>
      <c r="J696">
        <v>386.82</v>
      </c>
      <c r="K696" t="str">
        <f t="shared" si="10"/>
        <v>March</v>
      </c>
    </row>
    <row r="697" spans="1:11" x14ac:dyDescent="0.25">
      <c r="A697" s="1" t="s">
        <v>733</v>
      </c>
      <c r="B697" s="2">
        <v>45819</v>
      </c>
      <c r="C697" s="1" t="s">
        <v>11</v>
      </c>
      <c r="D697" s="1" t="s">
        <v>31</v>
      </c>
      <c r="E697" s="1" t="s">
        <v>13</v>
      </c>
      <c r="F697" s="1" t="s">
        <v>28</v>
      </c>
      <c r="G697" s="1" t="s">
        <v>15</v>
      </c>
      <c r="H697">
        <v>164.34</v>
      </c>
      <c r="I697">
        <v>6</v>
      </c>
      <c r="J697">
        <v>986.04</v>
      </c>
      <c r="K697" t="str">
        <f t="shared" si="10"/>
        <v>June</v>
      </c>
    </row>
    <row r="698" spans="1:11" x14ac:dyDescent="0.25">
      <c r="A698" s="1" t="s">
        <v>734</v>
      </c>
      <c r="B698" s="2">
        <v>45818</v>
      </c>
      <c r="C698" s="1" t="s">
        <v>11</v>
      </c>
      <c r="D698" s="1" t="s">
        <v>31</v>
      </c>
      <c r="E698" s="1" t="s">
        <v>13</v>
      </c>
      <c r="F698" s="1" t="s">
        <v>14</v>
      </c>
      <c r="G698" s="1" t="s">
        <v>15</v>
      </c>
      <c r="H698">
        <v>93.5</v>
      </c>
      <c r="I698">
        <v>2</v>
      </c>
      <c r="J698">
        <v>187</v>
      </c>
      <c r="K698" t="str">
        <f t="shared" si="10"/>
        <v>June</v>
      </c>
    </row>
    <row r="699" spans="1:11" x14ac:dyDescent="0.25">
      <c r="A699" s="1" t="s">
        <v>735</v>
      </c>
      <c r="B699" s="2">
        <v>45953</v>
      </c>
      <c r="C699" s="1" t="s">
        <v>38</v>
      </c>
      <c r="D699" s="1" t="s">
        <v>22</v>
      </c>
      <c r="E699" s="1" t="s">
        <v>23</v>
      </c>
      <c r="F699" s="1" t="s">
        <v>42</v>
      </c>
      <c r="G699" s="1" t="s">
        <v>36</v>
      </c>
      <c r="H699">
        <v>157.87</v>
      </c>
      <c r="I699">
        <v>6</v>
      </c>
      <c r="J699">
        <v>947.22</v>
      </c>
      <c r="K699" t="str">
        <f t="shared" si="10"/>
        <v>October</v>
      </c>
    </row>
    <row r="700" spans="1:11" x14ac:dyDescent="0.25">
      <c r="A700" s="1" t="s">
        <v>736</v>
      </c>
      <c r="B700" s="2">
        <v>45982</v>
      </c>
      <c r="C700" s="1" t="s">
        <v>38</v>
      </c>
      <c r="D700" s="1" t="s">
        <v>31</v>
      </c>
      <c r="E700" s="1" t="s">
        <v>41</v>
      </c>
      <c r="F700" s="1" t="s">
        <v>61</v>
      </c>
      <c r="G700" s="1" t="s">
        <v>15</v>
      </c>
      <c r="H700">
        <v>63.96</v>
      </c>
      <c r="I700">
        <v>14</v>
      </c>
      <c r="J700">
        <v>895.44</v>
      </c>
      <c r="K700" t="str">
        <f t="shared" si="10"/>
        <v>November</v>
      </c>
    </row>
    <row r="701" spans="1:11" x14ac:dyDescent="0.25">
      <c r="A701" s="1" t="s">
        <v>737</v>
      </c>
      <c r="B701" s="2">
        <v>45677</v>
      </c>
      <c r="C701" s="1" t="s">
        <v>30</v>
      </c>
      <c r="D701" s="1" t="s">
        <v>12</v>
      </c>
      <c r="E701" s="1" t="s">
        <v>13</v>
      </c>
      <c r="F701" s="1" t="s">
        <v>19</v>
      </c>
      <c r="G701" s="1" t="s">
        <v>36</v>
      </c>
      <c r="H701">
        <v>135.85</v>
      </c>
      <c r="I701">
        <v>18</v>
      </c>
      <c r="J701">
        <v>2445.3000000000002</v>
      </c>
      <c r="K701" t="str">
        <f t="shared" si="10"/>
        <v>January</v>
      </c>
    </row>
    <row r="702" spans="1:11" x14ac:dyDescent="0.25">
      <c r="A702" s="1" t="s">
        <v>738</v>
      </c>
      <c r="B702" s="2">
        <v>45929</v>
      </c>
      <c r="C702" s="1" t="s">
        <v>11</v>
      </c>
      <c r="D702" s="1" t="s">
        <v>12</v>
      </c>
      <c r="E702" s="1" t="s">
        <v>45</v>
      </c>
      <c r="F702" s="1" t="s">
        <v>28</v>
      </c>
      <c r="G702" s="1" t="s">
        <v>20</v>
      </c>
      <c r="H702">
        <v>147.16999999999999</v>
      </c>
      <c r="I702">
        <v>7</v>
      </c>
      <c r="J702">
        <v>1030.19</v>
      </c>
      <c r="K702" t="str">
        <f t="shared" si="10"/>
        <v>September</v>
      </c>
    </row>
    <row r="703" spans="1:11" x14ac:dyDescent="0.25">
      <c r="A703" s="1" t="s">
        <v>739</v>
      </c>
      <c r="B703" s="2">
        <v>45785</v>
      </c>
      <c r="C703" s="1" t="s">
        <v>17</v>
      </c>
      <c r="D703" s="1" t="s">
        <v>35</v>
      </c>
      <c r="E703" s="1" t="s">
        <v>13</v>
      </c>
      <c r="F703" s="1" t="s">
        <v>14</v>
      </c>
      <c r="G703" s="1" t="s">
        <v>15</v>
      </c>
      <c r="H703">
        <v>41.4</v>
      </c>
      <c r="I703">
        <v>8</v>
      </c>
      <c r="J703">
        <v>331.2</v>
      </c>
      <c r="K703" t="str">
        <f t="shared" si="10"/>
        <v>May</v>
      </c>
    </row>
    <row r="704" spans="1:11" x14ac:dyDescent="0.25">
      <c r="A704" s="1" t="s">
        <v>740</v>
      </c>
      <c r="B704" s="2">
        <v>45854</v>
      </c>
      <c r="C704" s="1" t="s">
        <v>25</v>
      </c>
      <c r="D704" s="1" t="s">
        <v>35</v>
      </c>
      <c r="E704" s="1" t="s">
        <v>23</v>
      </c>
      <c r="F704" s="1" t="s">
        <v>19</v>
      </c>
      <c r="G704" s="1" t="s">
        <v>15</v>
      </c>
      <c r="H704">
        <v>104.05</v>
      </c>
      <c r="I704">
        <v>17</v>
      </c>
      <c r="J704">
        <v>1768.85</v>
      </c>
      <c r="K704" t="str">
        <f t="shared" si="10"/>
        <v>July</v>
      </c>
    </row>
    <row r="705" spans="1:11" x14ac:dyDescent="0.25">
      <c r="A705" s="1" t="s">
        <v>741</v>
      </c>
      <c r="B705" s="2">
        <v>45810</v>
      </c>
      <c r="C705" s="1" t="s">
        <v>38</v>
      </c>
      <c r="D705" s="1" t="s">
        <v>12</v>
      </c>
      <c r="E705" s="1" t="s">
        <v>18</v>
      </c>
      <c r="F705" s="1" t="s">
        <v>42</v>
      </c>
      <c r="G705" s="1" t="s">
        <v>20</v>
      </c>
      <c r="H705">
        <v>59.57</v>
      </c>
      <c r="I705">
        <v>10</v>
      </c>
      <c r="J705">
        <v>595.70000000000005</v>
      </c>
      <c r="K705" t="str">
        <f t="shared" si="10"/>
        <v>June</v>
      </c>
    </row>
    <row r="706" spans="1:11" x14ac:dyDescent="0.25">
      <c r="A706" s="1" t="s">
        <v>742</v>
      </c>
      <c r="B706" s="2">
        <v>45830</v>
      </c>
      <c r="C706" s="1" t="s">
        <v>17</v>
      </c>
      <c r="D706" s="1" t="s">
        <v>26</v>
      </c>
      <c r="E706" s="1" t="s">
        <v>13</v>
      </c>
      <c r="F706" s="1" t="s">
        <v>61</v>
      </c>
      <c r="G706" s="1" t="s">
        <v>36</v>
      </c>
      <c r="H706">
        <v>43.94</v>
      </c>
      <c r="I706">
        <v>14</v>
      </c>
      <c r="J706">
        <v>615.16</v>
      </c>
      <c r="K706" t="str">
        <f t="shared" ref="K706:K769" si="11">TEXT(B:B,"MMMM")</f>
        <v>June</v>
      </c>
    </row>
    <row r="707" spans="1:11" x14ac:dyDescent="0.25">
      <c r="A707" s="1" t="s">
        <v>743</v>
      </c>
      <c r="B707" s="2">
        <v>45754</v>
      </c>
      <c r="C707" s="1" t="s">
        <v>38</v>
      </c>
      <c r="D707" s="1" t="s">
        <v>22</v>
      </c>
      <c r="E707" s="1" t="s">
        <v>23</v>
      </c>
      <c r="F707" s="1" t="s">
        <v>14</v>
      </c>
      <c r="G707" s="1" t="s">
        <v>20</v>
      </c>
      <c r="H707">
        <v>247.79</v>
      </c>
      <c r="I707">
        <v>6</v>
      </c>
      <c r="J707">
        <v>1486.74</v>
      </c>
      <c r="K707" t="str">
        <f t="shared" si="11"/>
        <v>April</v>
      </c>
    </row>
    <row r="708" spans="1:11" x14ac:dyDescent="0.25">
      <c r="A708" s="1" t="s">
        <v>744</v>
      </c>
      <c r="B708" s="2">
        <v>45725</v>
      </c>
      <c r="C708" s="1" t="s">
        <v>17</v>
      </c>
      <c r="D708" s="1" t="s">
        <v>22</v>
      </c>
      <c r="E708" s="1" t="s">
        <v>18</v>
      </c>
      <c r="F708" s="1" t="s">
        <v>42</v>
      </c>
      <c r="G708" s="1" t="s">
        <v>15</v>
      </c>
      <c r="H708">
        <v>100.92</v>
      </c>
      <c r="I708">
        <v>7</v>
      </c>
      <c r="J708">
        <v>706.44</v>
      </c>
      <c r="K708" t="str">
        <f t="shared" si="11"/>
        <v>March</v>
      </c>
    </row>
    <row r="709" spans="1:11" x14ac:dyDescent="0.25">
      <c r="A709" s="1" t="s">
        <v>745</v>
      </c>
      <c r="B709" s="2">
        <v>45721</v>
      </c>
      <c r="C709" s="1" t="s">
        <v>17</v>
      </c>
      <c r="D709" s="1" t="s">
        <v>12</v>
      </c>
      <c r="E709" s="1" t="s">
        <v>45</v>
      </c>
      <c r="F709" s="1" t="s">
        <v>61</v>
      </c>
      <c r="G709" s="1" t="s">
        <v>20</v>
      </c>
      <c r="H709">
        <v>208.17</v>
      </c>
      <c r="I709">
        <v>12</v>
      </c>
      <c r="J709">
        <v>2498.04</v>
      </c>
      <c r="K709" t="str">
        <f t="shared" si="11"/>
        <v>March</v>
      </c>
    </row>
    <row r="710" spans="1:11" x14ac:dyDescent="0.25">
      <c r="A710" s="1" t="s">
        <v>746</v>
      </c>
      <c r="B710" s="2">
        <v>45788</v>
      </c>
      <c r="C710" s="1" t="s">
        <v>25</v>
      </c>
      <c r="D710" s="1" t="s">
        <v>22</v>
      </c>
      <c r="E710" s="1" t="s">
        <v>18</v>
      </c>
      <c r="F710" s="1" t="s">
        <v>19</v>
      </c>
      <c r="G710" s="1" t="s">
        <v>20</v>
      </c>
      <c r="H710">
        <v>86.02</v>
      </c>
      <c r="I710">
        <v>18</v>
      </c>
      <c r="J710">
        <v>1548.36</v>
      </c>
      <c r="K710" t="str">
        <f t="shared" si="11"/>
        <v>May</v>
      </c>
    </row>
    <row r="711" spans="1:11" x14ac:dyDescent="0.25">
      <c r="A711" s="1" t="s">
        <v>747</v>
      </c>
      <c r="B711" s="2">
        <v>45713</v>
      </c>
      <c r="C711" s="1" t="s">
        <v>11</v>
      </c>
      <c r="D711" s="1" t="s">
        <v>12</v>
      </c>
      <c r="E711" s="1" t="s">
        <v>45</v>
      </c>
      <c r="F711" s="1" t="s">
        <v>61</v>
      </c>
      <c r="G711" s="1" t="s">
        <v>36</v>
      </c>
      <c r="H711">
        <v>179.93</v>
      </c>
      <c r="I711">
        <v>1</v>
      </c>
      <c r="J711">
        <v>179.93</v>
      </c>
      <c r="K711" t="str">
        <f t="shared" si="11"/>
        <v>February</v>
      </c>
    </row>
    <row r="712" spans="1:11" x14ac:dyDescent="0.25">
      <c r="A712" s="1" t="s">
        <v>748</v>
      </c>
      <c r="B712" s="2">
        <v>45852</v>
      </c>
      <c r="C712" s="1" t="s">
        <v>25</v>
      </c>
      <c r="D712" s="1" t="s">
        <v>35</v>
      </c>
      <c r="E712" s="1" t="s">
        <v>41</v>
      </c>
      <c r="F712" s="1" t="s">
        <v>28</v>
      </c>
      <c r="G712" s="1" t="s">
        <v>15</v>
      </c>
      <c r="H712">
        <v>197.25</v>
      </c>
      <c r="I712">
        <v>4</v>
      </c>
      <c r="J712">
        <v>789</v>
      </c>
      <c r="K712" t="str">
        <f t="shared" si="11"/>
        <v>July</v>
      </c>
    </row>
    <row r="713" spans="1:11" x14ac:dyDescent="0.25">
      <c r="A713" s="1" t="s">
        <v>749</v>
      </c>
      <c r="B713" s="2">
        <v>45763</v>
      </c>
      <c r="C713" s="1" t="s">
        <v>34</v>
      </c>
      <c r="D713" s="1" t="s">
        <v>31</v>
      </c>
      <c r="E713" s="1" t="s">
        <v>27</v>
      </c>
      <c r="F713" s="1" t="s">
        <v>19</v>
      </c>
      <c r="G713" s="1" t="s">
        <v>20</v>
      </c>
      <c r="H713">
        <v>161.04</v>
      </c>
      <c r="I713">
        <v>1</v>
      </c>
      <c r="J713">
        <v>161.04</v>
      </c>
      <c r="K713" t="str">
        <f t="shared" si="11"/>
        <v>April</v>
      </c>
    </row>
    <row r="714" spans="1:11" x14ac:dyDescent="0.25">
      <c r="A714" s="1" t="s">
        <v>750</v>
      </c>
      <c r="B714" s="2">
        <v>45924</v>
      </c>
      <c r="C714" s="1" t="s">
        <v>25</v>
      </c>
      <c r="D714" s="1" t="s">
        <v>55</v>
      </c>
      <c r="E714" s="1" t="s">
        <v>27</v>
      </c>
      <c r="F714" s="1" t="s">
        <v>14</v>
      </c>
      <c r="G714" s="1" t="s">
        <v>36</v>
      </c>
      <c r="H714">
        <v>133.75</v>
      </c>
      <c r="I714">
        <v>9</v>
      </c>
      <c r="J714">
        <v>1203.75</v>
      </c>
      <c r="K714" t="str">
        <f t="shared" si="11"/>
        <v>September</v>
      </c>
    </row>
    <row r="715" spans="1:11" x14ac:dyDescent="0.25">
      <c r="A715" s="1" t="s">
        <v>751</v>
      </c>
      <c r="B715" s="2">
        <v>45711</v>
      </c>
      <c r="C715" s="1" t="s">
        <v>17</v>
      </c>
      <c r="D715" s="1" t="s">
        <v>55</v>
      </c>
      <c r="E715" s="1" t="s">
        <v>45</v>
      </c>
      <c r="F715" s="1" t="s">
        <v>32</v>
      </c>
      <c r="G715" s="1" t="s">
        <v>15</v>
      </c>
      <c r="H715">
        <v>120.61</v>
      </c>
      <c r="I715">
        <v>17</v>
      </c>
      <c r="J715">
        <v>2050.37</v>
      </c>
      <c r="K715" t="str">
        <f t="shared" si="11"/>
        <v>February</v>
      </c>
    </row>
    <row r="716" spans="1:11" x14ac:dyDescent="0.25">
      <c r="A716" s="1" t="s">
        <v>752</v>
      </c>
      <c r="B716" s="2">
        <v>45712</v>
      </c>
      <c r="C716" s="1" t="s">
        <v>30</v>
      </c>
      <c r="D716" s="1" t="s">
        <v>55</v>
      </c>
      <c r="E716" s="1" t="s">
        <v>23</v>
      </c>
      <c r="F716" s="1" t="s">
        <v>39</v>
      </c>
      <c r="G716" s="1" t="s">
        <v>36</v>
      </c>
      <c r="H716">
        <v>106.75</v>
      </c>
      <c r="I716">
        <v>16</v>
      </c>
      <c r="J716">
        <v>1708</v>
      </c>
      <c r="K716" t="str">
        <f t="shared" si="11"/>
        <v>February</v>
      </c>
    </row>
    <row r="717" spans="1:11" x14ac:dyDescent="0.25">
      <c r="A717" s="1" t="s">
        <v>753</v>
      </c>
      <c r="B717" s="2">
        <v>45925</v>
      </c>
      <c r="C717" s="1" t="s">
        <v>34</v>
      </c>
      <c r="D717" s="1" t="s">
        <v>12</v>
      </c>
      <c r="E717" s="1" t="s">
        <v>41</v>
      </c>
      <c r="F717" s="1" t="s">
        <v>32</v>
      </c>
      <c r="G717" s="1" t="s">
        <v>15</v>
      </c>
      <c r="H717">
        <v>234.5</v>
      </c>
      <c r="I717">
        <v>7</v>
      </c>
      <c r="J717">
        <v>1641.5</v>
      </c>
      <c r="K717" t="str">
        <f t="shared" si="11"/>
        <v>September</v>
      </c>
    </row>
    <row r="718" spans="1:11" x14ac:dyDescent="0.25">
      <c r="A718" s="1" t="s">
        <v>754</v>
      </c>
      <c r="B718" s="2">
        <v>45678</v>
      </c>
      <c r="C718" s="1" t="s">
        <v>38</v>
      </c>
      <c r="D718" s="1" t="s">
        <v>26</v>
      </c>
      <c r="E718" s="1" t="s">
        <v>27</v>
      </c>
      <c r="F718" s="1" t="s">
        <v>61</v>
      </c>
      <c r="G718" s="1" t="s">
        <v>36</v>
      </c>
      <c r="H718">
        <v>212.74</v>
      </c>
      <c r="I718">
        <v>18</v>
      </c>
      <c r="J718">
        <v>3829.32</v>
      </c>
      <c r="K718" t="str">
        <f t="shared" si="11"/>
        <v>January</v>
      </c>
    </row>
    <row r="719" spans="1:11" x14ac:dyDescent="0.25">
      <c r="A719" s="1" t="s">
        <v>755</v>
      </c>
      <c r="B719" s="2">
        <v>45778</v>
      </c>
      <c r="C719" s="1" t="s">
        <v>11</v>
      </c>
      <c r="D719" s="1" t="s">
        <v>12</v>
      </c>
      <c r="E719" s="1" t="s">
        <v>45</v>
      </c>
      <c r="F719" s="1" t="s">
        <v>19</v>
      </c>
      <c r="G719" s="1" t="s">
        <v>20</v>
      </c>
      <c r="H719">
        <v>242.31</v>
      </c>
      <c r="I719">
        <v>1</v>
      </c>
      <c r="J719">
        <v>242.31</v>
      </c>
      <c r="K719" t="str">
        <f t="shared" si="11"/>
        <v>May</v>
      </c>
    </row>
    <row r="720" spans="1:11" x14ac:dyDescent="0.25">
      <c r="A720" s="1" t="s">
        <v>756</v>
      </c>
      <c r="B720" s="2">
        <v>46000</v>
      </c>
      <c r="C720" s="1" t="s">
        <v>30</v>
      </c>
      <c r="D720" s="1" t="s">
        <v>22</v>
      </c>
      <c r="E720" s="1" t="s">
        <v>18</v>
      </c>
      <c r="F720" s="1" t="s">
        <v>19</v>
      </c>
      <c r="G720" s="1" t="s">
        <v>20</v>
      </c>
      <c r="H720">
        <v>57.35</v>
      </c>
      <c r="I720">
        <v>16</v>
      </c>
      <c r="J720">
        <v>917.6</v>
      </c>
      <c r="K720" t="str">
        <f t="shared" si="11"/>
        <v>December</v>
      </c>
    </row>
    <row r="721" spans="1:11" x14ac:dyDescent="0.25">
      <c r="A721" s="1" t="s">
        <v>757</v>
      </c>
      <c r="B721" s="2">
        <v>45709</v>
      </c>
      <c r="C721" s="1" t="s">
        <v>17</v>
      </c>
      <c r="D721" s="1" t="s">
        <v>26</v>
      </c>
      <c r="E721" s="1" t="s">
        <v>41</v>
      </c>
      <c r="F721" s="1" t="s">
        <v>32</v>
      </c>
      <c r="G721" s="1" t="s">
        <v>36</v>
      </c>
      <c r="H721">
        <v>190.79</v>
      </c>
      <c r="I721">
        <v>9</v>
      </c>
      <c r="J721">
        <v>1717.11</v>
      </c>
      <c r="K721" t="str">
        <f t="shared" si="11"/>
        <v>February</v>
      </c>
    </row>
    <row r="722" spans="1:11" x14ac:dyDescent="0.25">
      <c r="A722" s="1" t="s">
        <v>758</v>
      </c>
      <c r="B722" s="2">
        <v>45895</v>
      </c>
      <c r="C722" s="1" t="s">
        <v>11</v>
      </c>
      <c r="D722" s="1" t="s">
        <v>26</v>
      </c>
      <c r="E722" s="1" t="s">
        <v>45</v>
      </c>
      <c r="F722" s="1" t="s">
        <v>39</v>
      </c>
      <c r="G722" s="1" t="s">
        <v>36</v>
      </c>
      <c r="H722">
        <v>236.43</v>
      </c>
      <c r="I722">
        <v>2</v>
      </c>
      <c r="J722">
        <v>472.86</v>
      </c>
      <c r="K722" t="str">
        <f t="shared" si="11"/>
        <v>August</v>
      </c>
    </row>
    <row r="723" spans="1:11" x14ac:dyDescent="0.25">
      <c r="A723" s="1" t="s">
        <v>759</v>
      </c>
      <c r="B723" s="2">
        <v>45842</v>
      </c>
      <c r="C723" s="1" t="s">
        <v>38</v>
      </c>
      <c r="D723" s="1" t="s">
        <v>12</v>
      </c>
      <c r="E723" s="1" t="s">
        <v>45</v>
      </c>
      <c r="F723" s="1" t="s">
        <v>19</v>
      </c>
      <c r="G723" s="1" t="s">
        <v>15</v>
      </c>
      <c r="H723">
        <v>69.87</v>
      </c>
      <c r="I723">
        <v>11</v>
      </c>
      <c r="J723">
        <v>768.57</v>
      </c>
      <c r="K723" t="str">
        <f t="shared" si="11"/>
        <v>July</v>
      </c>
    </row>
    <row r="724" spans="1:11" x14ac:dyDescent="0.25">
      <c r="A724" s="1" t="s">
        <v>760</v>
      </c>
      <c r="B724" s="2">
        <v>45662</v>
      </c>
      <c r="C724" s="1" t="s">
        <v>17</v>
      </c>
      <c r="D724" s="1" t="s">
        <v>12</v>
      </c>
      <c r="E724" s="1" t="s">
        <v>23</v>
      </c>
      <c r="F724" s="1" t="s">
        <v>32</v>
      </c>
      <c r="G724" s="1" t="s">
        <v>36</v>
      </c>
      <c r="H724">
        <v>44.63</v>
      </c>
      <c r="I724">
        <v>5</v>
      </c>
      <c r="J724">
        <v>223.15</v>
      </c>
      <c r="K724" t="str">
        <f t="shared" si="11"/>
        <v>January</v>
      </c>
    </row>
    <row r="725" spans="1:11" x14ac:dyDescent="0.25">
      <c r="A725" s="1" t="s">
        <v>761</v>
      </c>
      <c r="B725" s="2">
        <v>45882</v>
      </c>
      <c r="C725" s="1" t="s">
        <v>34</v>
      </c>
      <c r="D725" s="1" t="s">
        <v>12</v>
      </c>
      <c r="E725" s="1" t="s">
        <v>45</v>
      </c>
      <c r="F725" s="1" t="s">
        <v>32</v>
      </c>
      <c r="G725" s="1" t="s">
        <v>36</v>
      </c>
      <c r="H725">
        <v>193.05</v>
      </c>
      <c r="I725">
        <v>20</v>
      </c>
      <c r="J725">
        <v>3861</v>
      </c>
      <c r="K725" t="str">
        <f t="shared" si="11"/>
        <v>August</v>
      </c>
    </row>
    <row r="726" spans="1:11" x14ac:dyDescent="0.25">
      <c r="A726" s="1" t="s">
        <v>762</v>
      </c>
      <c r="B726" s="2">
        <v>45751</v>
      </c>
      <c r="C726" s="1" t="s">
        <v>38</v>
      </c>
      <c r="D726" s="1" t="s">
        <v>31</v>
      </c>
      <c r="E726" s="1" t="s">
        <v>41</v>
      </c>
      <c r="F726" s="1" t="s">
        <v>32</v>
      </c>
      <c r="G726" s="1" t="s">
        <v>36</v>
      </c>
      <c r="H726">
        <v>156.38</v>
      </c>
      <c r="I726">
        <v>4</v>
      </c>
      <c r="J726">
        <v>625.52</v>
      </c>
      <c r="K726" t="str">
        <f t="shared" si="11"/>
        <v>April</v>
      </c>
    </row>
    <row r="727" spans="1:11" x14ac:dyDescent="0.25">
      <c r="A727" s="1" t="s">
        <v>763</v>
      </c>
      <c r="B727" s="2">
        <v>46011</v>
      </c>
      <c r="C727" s="1" t="s">
        <v>38</v>
      </c>
      <c r="D727" s="1" t="s">
        <v>12</v>
      </c>
      <c r="E727" s="1" t="s">
        <v>23</v>
      </c>
      <c r="F727" s="1" t="s">
        <v>19</v>
      </c>
      <c r="G727" s="1" t="s">
        <v>15</v>
      </c>
      <c r="H727">
        <v>215.2</v>
      </c>
      <c r="I727">
        <v>16</v>
      </c>
      <c r="J727">
        <v>3443.2</v>
      </c>
      <c r="K727" t="str">
        <f t="shared" si="11"/>
        <v>December</v>
      </c>
    </row>
    <row r="728" spans="1:11" x14ac:dyDescent="0.25">
      <c r="A728" s="1" t="s">
        <v>764</v>
      </c>
      <c r="B728" s="2">
        <v>46014</v>
      </c>
      <c r="C728" s="1" t="s">
        <v>30</v>
      </c>
      <c r="D728" s="1" t="s">
        <v>22</v>
      </c>
      <c r="E728" s="1" t="s">
        <v>41</v>
      </c>
      <c r="F728" s="1" t="s">
        <v>42</v>
      </c>
      <c r="G728" s="1" t="s">
        <v>36</v>
      </c>
      <c r="H728">
        <v>60.75</v>
      </c>
      <c r="I728">
        <v>2</v>
      </c>
      <c r="J728">
        <v>121.5</v>
      </c>
      <c r="K728" t="str">
        <f t="shared" si="11"/>
        <v>December</v>
      </c>
    </row>
    <row r="729" spans="1:11" x14ac:dyDescent="0.25">
      <c r="A729" s="1" t="s">
        <v>765</v>
      </c>
      <c r="B729" s="2">
        <v>45949</v>
      </c>
      <c r="C729" s="1" t="s">
        <v>30</v>
      </c>
      <c r="D729" s="1" t="s">
        <v>55</v>
      </c>
      <c r="E729" s="1" t="s">
        <v>41</v>
      </c>
      <c r="F729" s="1" t="s">
        <v>39</v>
      </c>
      <c r="G729" s="1" t="s">
        <v>36</v>
      </c>
      <c r="H729">
        <v>204.96</v>
      </c>
      <c r="I729">
        <v>15</v>
      </c>
      <c r="J729">
        <v>3074.4</v>
      </c>
      <c r="K729" t="str">
        <f t="shared" si="11"/>
        <v>October</v>
      </c>
    </row>
    <row r="730" spans="1:11" x14ac:dyDescent="0.25">
      <c r="A730" s="1" t="s">
        <v>766</v>
      </c>
      <c r="B730" s="2">
        <v>45971</v>
      </c>
      <c r="C730" s="1" t="s">
        <v>17</v>
      </c>
      <c r="D730" s="1" t="s">
        <v>12</v>
      </c>
      <c r="E730" s="1" t="s">
        <v>23</v>
      </c>
      <c r="F730" s="1" t="s">
        <v>61</v>
      </c>
      <c r="G730" s="1" t="s">
        <v>36</v>
      </c>
      <c r="H730">
        <v>74.36</v>
      </c>
      <c r="I730">
        <v>1</v>
      </c>
      <c r="J730">
        <v>74.36</v>
      </c>
      <c r="K730" t="str">
        <f t="shared" si="11"/>
        <v>November</v>
      </c>
    </row>
    <row r="731" spans="1:11" x14ac:dyDescent="0.25">
      <c r="A731" s="1" t="s">
        <v>767</v>
      </c>
      <c r="B731" s="2">
        <v>45715</v>
      </c>
      <c r="C731" s="1" t="s">
        <v>38</v>
      </c>
      <c r="D731" s="1" t="s">
        <v>22</v>
      </c>
      <c r="E731" s="1" t="s">
        <v>45</v>
      </c>
      <c r="F731" s="1" t="s">
        <v>32</v>
      </c>
      <c r="G731" s="1" t="s">
        <v>20</v>
      </c>
      <c r="H731">
        <v>66</v>
      </c>
      <c r="I731">
        <v>14</v>
      </c>
      <c r="J731">
        <v>924</v>
      </c>
      <c r="K731" t="str">
        <f t="shared" si="11"/>
        <v>February</v>
      </c>
    </row>
    <row r="732" spans="1:11" x14ac:dyDescent="0.25">
      <c r="A732" s="1" t="s">
        <v>768</v>
      </c>
      <c r="B732" s="2">
        <v>45818</v>
      </c>
      <c r="C732" s="1" t="s">
        <v>17</v>
      </c>
      <c r="D732" s="1" t="s">
        <v>12</v>
      </c>
      <c r="E732" s="1" t="s">
        <v>18</v>
      </c>
      <c r="F732" s="1" t="s">
        <v>39</v>
      </c>
      <c r="G732" s="1" t="s">
        <v>20</v>
      </c>
      <c r="H732">
        <v>66.14</v>
      </c>
      <c r="I732">
        <v>1</v>
      </c>
      <c r="J732">
        <v>66.14</v>
      </c>
      <c r="K732" t="str">
        <f t="shared" si="11"/>
        <v>June</v>
      </c>
    </row>
    <row r="733" spans="1:11" x14ac:dyDescent="0.25">
      <c r="A733" s="1" t="s">
        <v>769</v>
      </c>
      <c r="B733" s="2">
        <v>45953</v>
      </c>
      <c r="C733" s="1" t="s">
        <v>30</v>
      </c>
      <c r="D733" s="1" t="s">
        <v>12</v>
      </c>
      <c r="E733" s="1" t="s">
        <v>13</v>
      </c>
      <c r="F733" s="1" t="s">
        <v>42</v>
      </c>
      <c r="G733" s="1" t="s">
        <v>20</v>
      </c>
      <c r="H733">
        <v>209.21</v>
      </c>
      <c r="I733">
        <v>19</v>
      </c>
      <c r="J733">
        <v>3974.99</v>
      </c>
      <c r="K733" t="str">
        <f t="shared" si="11"/>
        <v>October</v>
      </c>
    </row>
    <row r="734" spans="1:11" x14ac:dyDescent="0.25">
      <c r="A734" s="1" t="s">
        <v>770</v>
      </c>
      <c r="B734" s="2">
        <v>46010</v>
      </c>
      <c r="C734" s="1" t="s">
        <v>11</v>
      </c>
      <c r="D734" s="1" t="s">
        <v>31</v>
      </c>
      <c r="E734" s="1" t="s">
        <v>27</v>
      </c>
      <c r="F734" s="1" t="s">
        <v>28</v>
      </c>
      <c r="G734" s="1" t="s">
        <v>15</v>
      </c>
      <c r="H734">
        <v>176.34</v>
      </c>
      <c r="I734">
        <v>20</v>
      </c>
      <c r="J734">
        <v>3526.8</v>
      </c>
      <c r="K734" t="str">
        <f t="shared" si="11"/>
        <v>December</v>
      </c>
    </row>
    <row r="735" spans="1:11" x14ac:dyDescent="0.25">
      <c r="A735" s="1" t="s">
        <v>771</v>
      </c>
      <c r="B735" s="2">
        <v>45904</v>
      </c>
      <c r="C735" s="1" t="s">
        <v>17</v>
      </c>
      <c r="D735" s="1" t="s">
        <v>12</v>
      </c>
      <c r="E735" s="1" t="s">
        <v>27</v>
      </c>
      <c r="F735" s="1" t="s">
        <v>61</v>
      </c>
      <c r="G735" s="1" t="s">
        <v>15</v>
      </c>
      <c r="H735">
        <v>145.07</v>
      </c>
      <c r="I735">
        <v>12</v>
      </c>
      <c r="J735">
        <v>1740.84</v>
      </c>
      <c r="K735" t="str">
        <f t="shared" si="11"/>
        <v>September</v>
      </c>
    </row>
    <row r="736" spans="1:11" x14ac:dyDescent="0.25">
      <c r="A736" s="1" t="s">
        <v>772</v>
      </c>
      <c r="B736" s="2">
        <v>45943</v>
      </c>
      <c r="C736" s="1" t="s">
        <v>11</v>
      </c>
      <c r="D736" s="1" t="s">
        <v>22</v>
      </c>
      <c r="E736" s="1" t="s">
        <v>27</v>
      </c>
      <c r="F736" s="1" t="s">
        <v>14</v>
      </c>
      <c r="G736" s="1" t="s">
        <v>20</v>
      </c>
      <c r="H736">
        <v>108.94</v>
      </c>
      <c r="I736">
        <v>20</v>
      </c>
      <c r="J736">
        <v>2178.8000000000002</v>
      </c>
      <c r="K736" t="str">
        <f t="shared" si="11"/>
        <v>October</v>
      </c>
    </row>
    <row r="737" spans="1:11" x14ac:dyDescent="0.25">
      <c r="A737" s="1" t="s">
        <v>773</v>
      </c>
      <c r="B737" s="2">
        <v>45898</v>
      </c>
      <c r="C737" s="1" t="s">
        <v>30</v>
      </c>
      <c r="D737" s="1" t="s">
        <v>22</v>
      </c>
      <c r="E737" s="1" t="s">
        <v>41</v>
      </c>
      <c r="F737" s="1" t="s">
        <v>32</v>
      </c>
      <c r="G737" s="1" t="s">
        <v>15</v>
      </c>
      <c r="H737">
        <v>222.98</v>
      </c>
      <c r="I737">
        <v>16</v>
      </c>
      <c r="J737">
        <v>3567.68</v>
      </c>
      <c r="K737" t="str">
        <f t="shared" si="11"/>
        <v>August</v>
      </c>
    </row>
    <row r="738" spans="1:11" x14ac:dyDescent="0.25">
      <c r="A738" s="1" t="s">
        <v>774</v>
      </c>
      <c r="B738" s="2">
        <v>45827</v>
      </c>
      <c r="C738" s="1" t="s">
        <v>11</v>
      </c>
      <c r="D738" s="1" t="s">
        <v>55</v>
      </c>
      <c r="E738" s="1" t="s">
        <v>23</v>
      </c>
      <c r="F738" s="1" t="s">
        <v>42</v>
      </c>
      <c r="G738" s="1" t="s">
        <v>20</v>
      </c>
      <c r="H738">
        <v>116.34</v>
      </c>
      <c r="I738">
        <v>9</v>
      </c>
      <c r="J738">
        <v>1047.06</v>
      </c>
      <c r="K738" t="str">
        <f t="shared" si="11"/>
        <v>June</v>
      </c>
    </row>
    <row r="739" spans="1:11" x14ac:dyDescent="0.25">
      <c r="A739" s="1" t="s">
        <v>775</v>
      </c>
      <c r="B739" s="2">
        <v>45851</v>
      </c>
      <c r="C739" s="1" t="s">
        <v>30</v>
      </c>
      <c r="D739" s="1" t="s">
        <v>22</v>
      </c>
      <c r="E739" s="1" t="s">
        <v>41</v>
      </c>
      <c r="F739" s="1" t="s">
        <v>61</v>
      </c>
      <c r="G739" s="1" t="s">
        <v>20</v>
      </c>
      <c r="H739">
        <v>209.65</v>
      </c>
      <c r="I739">
        <v>13</v>
      </c>
      <c r="J739">
        <v>2725.45</v>
      </c>
      <c r="K739" t="str">
        <f t="shared" si="11"/>
        <v>July</v>
      </c>
    </row>
    <row r="740" spans="1:11" x14ac:dyDescent="0.25">
      <c r="A740" s="1" t="s">
        <v>776</v>
      </c>
      <c r="B740" s="2">
        <v>45887</v>
      </c>
      <c r="C740" s="1" t="s">
        <v>38</v>
      </c>
      <c r="D740" s="1" t="s">
        <v>31</v>
      </c>
      <c r="E740" s="1" t="s">
        <v>13</v>
      </c>
      <c r="F740" s="1" t="s">
        <v>19</v>
      </c>
      <c r="G740" s="1" t="s">
        <v>36</v>
      </c>
      <c r="H740">
        <v>126.61</v>
      </c>
      <c r="I740">
        <v>3</v>
      </c>
      <c r="J740">
        <v>379.83</v>
      </c>
      <c r="K740" t="str">
        <f t="shared" si="11"/>
        <v>August</v>
      </c>
    </row>
    <row r="741" spans="1:11" x14ac:dyDescent="0.25">
      <c r="A741" s="1" t="s">
        <v>777</v>
      </c>
      <c r="B741" s="2">
        <v>45992</v>
      </c>
      <c r="C741" s="1" t="s">
        <v>11</v>
      </c>
      <c r="D741" s="1" t="s">
        <v>31</v>
      </c>
      <c r="E741" s="1" t="s">
        <v>41</v>
      </c>
      <c r="F741" s="1" t="s">
        <v>19</v>
      </c>
      <c r="G741" s="1" t="s">
        <v>20</v>
      </c>
      <c r="H741">
        <v>112.93</v>
      </c>
      <c r="I741">
        <v>1</v>
      </c>
      <c r="J741">
        <v>112.93</v>
      </c>
      <c r="K741" t="str">
        <f t="shared" si="11"/>
        <v>December</v>
      </c>
    </row>
    <row r="742" spans="1:11" x14ac:dyDescent="0.25">
      <c r="A742" s="1" t="s">
        <v>778</v>
      </c>
      <c r="B742" s="2">
        <v>45939</v>
      </c>
      <c r="C742" s="1" t="s">
        <v>11</v>
      </c>
      <c r="D742" s="1" t="s">
        <v>55</v>
      </c>
      <c r="E742" s="1" t="s">
        <v>18</v>
      </c>
      <c r="F742" s="1" t="s">
        <v>28</v>
      </c>
      <c r="G742" s="1" t="s">
        <v>36</v>
      </c>
      <c r="H742">
        <v>131.79</v>
      </c>
      <c r="I742">
        <v>1</v>
      </c>
      <c r="J742">
        <v>131.79</v>
      </c>
      <c r="K742" t="str">
        <f t="shared" si="11"/>
        <v>October</v>
      </c>
    </row>
    <row r="743" spans="1:11" x14ac:dyDescent="0.25">
      <c r="A743" s="1" t="s">
        <v>779</v>
      </c>
      <c r="B743" s="2">
        <v>45918</v>
      </c>
      <c r="C743" s="1" t="s">
        <v>30</v>
      </c>
      <c r="D743" s="1" t="s">
        <v>12</v>
      </c>
      <c r="E743" s="1" t="s">
        <v>27</v>
      </c>
      <c r="F743" s="1" t="s">
        <v>61</v>
      </c>
      <c r="G743" s="1" t="s">
        <v>36</v>
      </c>
      <c r="H743">
        <v>96.3</v>
      </c>
      <c r="I743">
        <v>18</v>
      </c>
      <c r="J743">
        <v>1733.4</v>
      </c>
      <c r="K743" t="str">
        <f t="shared" si="11"/>
        <v>September</v>
      </c>
    </row>
    <row r="744" spans="1:11" x14ac:dyDescent="0.25">
      <c r="A744" s="1" t="s">
        <v>780</v>
      </c>
      <c r="B744" s="2">
        <v>45844</v>
      </c>
      <c r="C744" s="1" t="s">
        <v>30</v>
      </c>
      <c r="D744" s="1" t="s">
        <v>31</v>
      </c>
      <c r="E744" s="1" t="s">
        <v>13</v>
      </c>
      <c r="F744" s="1" t="s">
        <v>42</v>
      </c>
      <c r="G744" s="1" t="s">
        <v>20</v>
      </c>
      <c r="H744">
        <v>194.47</v>
      </c>
      <c r="I744">
        <v>2</v>
      </c>
      <c r="J744">
        <v>388.94</v>
      </c>
      <c r="K744" t="str">
        <f t="shared" si="11"/>
        <v>July</v>
      </c>
    </row>
    <row r="745" spans="1:11" x14ac:dyDescent="0.25">
      <c r="A745" s="1" t="s">
        <v>781</v>
      </c>
      <c r="B745" s="2">
        <v>45965</v>
      </c>
      <c r="C745" s="1" t="s">
        <v>17</v>
      </c>
      <c r="D745" s="1" t="s">
        <v>12</v>
      </c>
      <c r="E745" s="1" t="s">
        <v>13</v>
      </c>
      <c r="F745" s="1" t="s">
        <v>28</v>
      </c>
      <c r="G745" s="1" t="s">
        <v>36</v>
      </c>
      <c r="H745">
        <v>140.6</v>
      </c>
      <c r="I745">
        <v>16</v>
      </c>
      <c r="J745">
        <v>2249.6</v>
      </c>
      <c r="K745" t="str">
        <f t="shared" si="11"/>
        <v>November</v>
      </c>
    </row>
    <row r="746" spans="1:11" x14ac:dyDescent="0.25">
      <c r="A746" s="1" t="s">
        <v>782</v>
      </c>
      <c r="B746" s="2">
        <v>45716</v>
      </c>
      <c r="C746" s="1" t="s">
        <v>17</v>
      </c>
      <c r="D746" s="1" t="s">
        <v>26</v>
      </c>
      <c r="E746" s="1" t="s">
        <v>45</v>
      </c>
      <c r="F746" s="1" t="s">
        <v>32</v>
      </c>
      <c r="G746" s="1" t="s">
        <v>36</v>
      </c>
      <c r="H746">
        <v>81.09</v>
      </c>
      <c r="I746">
        <v>4</v>
      </c>
      <c r="J746">
        <v>324.36</v>
      </c>
      <c r="K746" t="str">
        <f t="shared" si="11"/>
        <v>February</v>
      </c>
    </row>
    <row r="747" spans="1:11" x14ac:dyDescent="0.25">
      <c r="A747" s="1" t="s">
        <v>783</v>
      </c>
      <c r="B747" s="2">
        <v>45982</v>
      </c>
      <c r="C747" s="1" t="s">
        <v>25</v>
      </c>
      <c r="D747" s="1" t="s">
        <v>55</v>
      </c>
      <c r="E747" s="1" t="s">
        <v>13</v>
      </c>
      <c r="F747" s="1" t="s">
        <v>28</v>
      </c>
      <c r="G747" s="1" t="s">
        <v>15</v>
      </c>
      <c r="H747">
        <v>227.91</v>
      </c>
      <c r="I747">
        <v>10</v>
      </c>
      <c r="J747">
        <v>2279.1</v>
      </c>
      <c r="K747" t="str">
        <f t="shared" si="11"/>
        <v>November</v>
      </c>
    </row>
    <row r="748" spans="1:11" x14ac:dyDescent="0.25">
      <c r="A748" s="1" t="s">
        <v>784</v>
      </c>
      <c r="B748" s="2">
        <v>45681</v>
      </c>
      <c r="C748" s="1" t="s">
        <v>38</v>
      </c>
      <c r="D748" s="1" t="s">
        <v>26</v>
      </c>
      <c r="E748" s="1" t="s">
        <v>27</v>
      </c>
      <c r="F748" s="1" t="s">
        <v>28</v>
      </c>
      <c r="G748" s="1" t="s">
        <v>20</v>
      </c>
      <c r="H748">
        <v>114.46</v>
      </c>
      <c r="I748">
        <v>6</v>
      </c>
      <c r="J748">
        <v>686.76</v>
      </c>
      <c r="K748" t="str">
        <f t="shared" si="11"/>
        <v>January</v>
      </c>
    </row>
    <row r="749" spans="1:11" x14ac:dyDescent="0.25">
      <c r="A749" s="1" t="s">
        <v>785</v>
      </c>
      <c r="B749" s="2">
        <v>45867</v>
      </c>
      <c r="C749" s="1" t="s">
        <v>34</v>
      </c>
      <c r="D749" s="1" t="s">
        <v>55</v>
      </c>
      <c r="E749" s="1" t="s">
        <v>23</v>
      </c>
      <c r="F749" s="1" t="s">
        <v>14</v>
      </c>
      <c r="G749" s="1" t="s">
        <v>15</v>
      </c>
      <c r="H749">
        <v>149.58000000000001</v>
      </c>
      <c r="I749">
        <v>4</v>
      </c>
      <c r="J749">
        <v>598.32000000000005</v>
      </c>
      <c r="K749" t="str">
        <f t="shared" si="11"/>
        <v>July</v>
      </c>
    </row>
    <row r="750" spans="1:11" x14ac:dyDescent="0.25">
      <c r="A750" s="1" t="s">
        <v>786</v>
      </c>
      <c r="B750" s="2">
        <v>45859</v>
      </c>
      <c r="C750" s="1" t="s">
        <v>38</v>
      </c>
      <c r="D750" s="1" t="s">
        <v>26</v>
      </c>
      <c r="E750" s="1" t="s">
        <v>27</v>
      </c>
      <c r="F750" s="1" t="s">
        <v>32</v>
      </c>
      <c r="G750" s="1" t="s">
        <v>15</v>
      </c>
      <c r="H750">
        <v>229.42</v>
      </c>
      <c r="I750">
        <v>7</v>
      </c>
      <c r="J750">
        <v>1605.94</v>
      </c>
      <c r="K750" t="str">
        <f t="shared" si="11"/>
        <v>July</v>
      </c>
    </row>
    <row r="751" spans="1:11" x14ac:dyDescent="0.25">
      <c r="A751" s="1" t="s">
        <v>787</v>
      </c>
      <c r="B751" s="2">
        <v>45870</v>
      </c>
      <c r="C751" s="1" t="s">
        <v>17</v>
      </c>
      <c r="D751" s="1" t="s">
        <v>12</v>
      </c>
      <c r="E751" s="1" t="s">
        <v>18</v>
      </c>
      <c r="F751" s="1" t="s">
        <v>19</v>
      </c>
      <c r="G751" s="1" t="s">
        <v>36</v>
      </c>
      <c r="H751">
        <v>167.33</v>
      </c>
      <c r="I751">
        <v>2</v>
      </c>
      <c r="J751">
        <v>334.66</v>
      </c>
      <c r="K751" t="str">
        <f t="shared" si="11"/>
        <v>August</v>
      </c>
    </row>
    <row r="752" spans="1:11" x14ac:dyDescent="0.25">
      <c r="A752" s="1" t="s">
        <v>788</v>
      </c>
      <c r="B752" s="2">
        <v>45892</v>
      </c>
      <c r="C752" s="1" t="s">
        <v>25</v>
      </c>
      <c r="D752" s="1" t="s">
        <v>26</v>
      </c>
      <c r="E752" s="1" t="s">
        <v>41</v>
      </c>
      <c r="F752" s="1" t="s">
        <v>19</v>
      </c>
      <c r="G752" s="1" t="s">
        <v>20</v>
      </c>
      <c r="H752">
        <v>55.72</v>
      </c>
      <c r="I752">
        <v>19</v>
      </c>
      <c r="J752">
        <v>1058.68</v>
      </c>
      <c r="K752" t="str">
        <f t="shared" si="11"/>
        <v>August</v>
      </c>
    </row>
    <row r="753" spans="1:11" x14ac:dyDescent="0.25">
      <c r="A753" s="1" t="s">
        <v>789</v>
      </c>
      <c r="B753" s="2">
        <v>45682</v>
      </c>
      <c r="C753" s="1" t="s">
        <v>38</v>
      </c>
      <c r="D753" s="1" t="s">
        <v>55</v>
      </c>
      <c r="E753" s="1" t="s">
        <v>41</v>
      </c>
      <c r="F753" s="1" t="s">
        <v>42</v>
      </c>
      <c r="G753" s="1" t="s">
        <v>15</v>
      </c>
      <c r="H753">
        <v>236.76</v>
      </c>
      <c r="I753">
        <v>18</v>
      </c>
      <c r="J753">
        <v>4261.68</v>
      </c>
      <c r="K753" t="str">
        <f t="shared" si="11"/>
        <v>January</v>
      </c>
    </row>
    <row r="754" spans="1:11" x14ac:dyDescent="0.25">
      <c r="A754" s="1" t="s">
        <v>790</v>
      </c>
      <c r="B754" s="2">
        <v>46012</v>
      </c>
      <c r="C754" s="1" t="s">
        <v>30</v>
      </c>
      <c r="D754" s="1" t="s">
        <v>12</v>
      </c>
      <c r="E754" s="1" t="s">
        <v>23</v>
      </c>
      <c r="F754" s="1" t="s">
        <v>19</v>
      </c>
      <c r="G754" s="1" t="s">
        <v>36</v>
      </c>
      <c r="H754">
        <v>168.1</v>
      </c>
      <c r="I754">
        <v>19</v>
      </c>
      <c r="J754">
        <v>3193.9</v>
      </c>
      <c r="K754" t="str">
        <f t="shared" si="11"/>
        <v>December</v>
      </c>
    </row>
    <row r="755" spans="1:11" x14ac:dyDescent="0.25">
      <c r="A755" s="1" t="s">
        <v>791</v>
      </c>
      <c r="B755" s="2">
        <v>45994</v>
      </c>
      <c r="C755" s="1" t="s">
        <v>25</v>
      </c>
      <c r="D755" s="1" t="s">
        <v>35</v>
      </c>
      <c r="E755" s="1" t="s">
        <v>18</v>
      </c>
      <c r="F755" s="1" t="s">
        <v>61</v>
      </c>
      <c r="G755" s="1" t="s">
        <v>36</v>
      </c>
      <c r="H755">
        <v>103.68</v>
      </c>
      <c r="I755">
        <v>20</v>
      </c>
      <c r="J755">
        <v>2073.6</v>
      </c>
      <c r="K755" t="str">
        <f t="shared" si="11"/>
        <v>December</v>
      </c>
    </row>
    <row r="756" spans="1:11" x14ac:dyDescent="0.25">
      <c r="A756" s="1" t="s">
        <v>792</v>
      </c>
      <c r="B756" s="2">
        <v>45969</v>
      </c>
      <c r="C756" s="1" t="s">
        <v>34</v>
      </c>
      <c r="D756" s="1" t="s">
        <v>31</v>
      </c>
      <c r="E756" s="1" t="s">
        <v>13</v>
      </c>
      <c r="F756" s="1" t="s">
        <v>32</v>
      </c>
      <c r="G756" s="1" t="s">
        <v>36</v>
      </c>
      <c r="H756">
        <v>60.64</v>
      </c>
      <c r="I756">
        <v>8</v>
      </c>
      <c r="J756">
        <v>485.12</v>
      </c>
      <c r="K756" t="str">
        <f t="shared" si="11"/>
        <v>November</v>
      </c>
    </row>
    <row r="757" spans="1:11" x14ac:dyDescent="0.25">
      <c r="A757" s="1" t="s">
        <v>793</v>
      </c>
      <c r="B757" s="2">
        <v>45726</v>
      </c>
      <c r="C757" s="1" t="s">
        <v>38</v>
      </c>
      <c r="D757" s="1" t="s">
        <v>55</v>
      </c>
      <c r="E757" s="1" t="s">
        <v>27</v>
      </c>
      <c r="F757" s="1" t="s">
        <v>28</v>
      </c>
      <c r="G757" s="1" t="s">
        <v>20</v>
      </c>
      <c r="H757">
        <v>204.69</v>
      </c>
      <c r="I757">
        <v>5</v>
      </c>
      <c r="J757">
        <v>1023.45</v>
      </c>
      <c r="K757" t="str">
        <f t="shared" si="11"/>
        <v>March</v>
      </c>
    </row>
    <row r="758" spans="1:11" x14ac:dyDescent="0.25">
      <c r="A758" s="1" t="s">
        <v>794</v>
      </c>
      <c r="B758" s="2">
        <v>45811</v>
      </c>
      <c r="C758" s="1" t="s">
        <v>34</v>
      </c>
      <c r="D758" s="1" t="s">
        <v>12</v>
      </c>
      <c r="E758" s="1" t="s">
        <v>27</v>
      </c>
      <c r="F758" s="1" t="s">
        <v>42</v>
      </c>
      <c r="G758" s="1" t="s">
        <v>20</v>
      </c>
      <c r="H758">
        <v>166.42</v>
      </c>
      <c r="I758">
        <v>18</v>
      </c>
      <c r="J758">
        <v>2995.56</v>
      </c>
      <c r="K758" t="str">
        <f t="shared" si="11"/>
        <v>June</v>
      </c>
    </row>
    <row r="759" spans="1:11" x14ac:dyDescent="0.25">
      <c r="A759" s="1" t="s">
        <v>795</v>
      </c>
      <c r="B759" s="2">
        <v>45769</v>
      </c>
      <c r="C759" s="1" t="s">
        <v>30</v>
      </c>
      <c r="D759" s="1" t="s">
        <v>55</v>
      </c>
      <c r="E759" s="1" t="s">
        <v>27</v>
      </c>
      <c r="F759" s="1" t="s">
        <v>32</v>
      </c>
      <c r="G759" s="1" t="s">
        <v>20</v>
      </c>
      <c r="H759">
        <v>147.36000000000001</v>
      </c>
      <c r="I759">
        <v>7</v>
      </c>
      <c r="J759">
        <v>1031.52</v>
      </c>
      <c r="K759" t="str">
        <f t="shared" si="11"/>
        <v>April</v>
      </c>
    </row>
    <row r="760" spans="1:11" x14ac:dyDescent="0.25">
      <c r="A760" s="1" t="s">
        <v>796</v>
      </c>
      <c r="B760" s="2">
        <v>45834</v>
      </c>
      <c r="C760" s="1" t="s">
        <v>17</v>
      </c>
      <c r="D760" s="1" t="s">
        <v>12</v>
      </c>
      <c r="E760" s="1" t="s">
        <v>23</v>
      </c>
      <c r="F760" s="1" t="s">
        <v>42</v>
      </c>
      <c r="G760" s="1" t="s">
        <v>20</v>
      </c>
      <c r="H760">
        <v>226.66</v>
      </c>
      <c r="I760">
        <v>5</v>
      </c>
      <c r="J760">
        <v>1133.3</v>
      </c>
      <c r="K760" t="str">
        <f t="shared" si="11"/>
        <v>June</v>
      </c>
    </row>
    <row r="761" spans="1:11" x14ac:dyDescent="0.25">
      <c r="A761" s="1" t="s">
        <v>797</v>
      </c>
      <c r="B761" s="2">
        <v>46013</v>
      </c>
      <c r="C761" s="1" t="s">
        <v>17</v>
      </c>
      <c r="D761" s="1" t="s">
        <v>22</v>
      </c>
      <c r="E761" s="1" t="s">
        <v>13</v>
      </c>
      <c r="F761" s="1" t="s">
        <v>42</v>
      </c>
      <c r="G761" s="1" t="s">
        <v>36</v>
      </c>
      <c r="H761">
        <v>203.49</v>
      </c>
      <c r="I761">
        <v>11</v>
      </c>
      <c r="J761">
        <v>2238.39</v>
      </c>
      <c r="K761" t="str">
        <f t="shared" si="11"/>
        <v>December</v>
      </c>
    </row>
    <row r="762" spans="1:11" x14ac:dyDescent="0.25">
      <c r="A762" s="1" t="s">
        <v>798</v>
      </c>
      <c r="B762" s="2">
        <v>45956</v>
      </c>
      <c r="C762" s="1" t="s">
        <v>17</v>
      </c>
      <c r="D762" s="1" t="s">
        <v>12</v>
      </c>
      <c r="E762" s="1" t="s">
        <v>41</v>
      </c>
      <c r="F762" s="1" t="s">
        <v>28</v>
      </c>
      <c r="G762" s="1" t="s">
        <v>20</v>
      </c>
      <c r="H762">
        <v>63.37</v>
      </c>
      <c r="I762">
        <v>19</v>
      </c>
      <c r="J762">
        <v>1204.03</v>
      </c>
      <c r="K762" t="str">
        <f t="shared" si="11"/>
        <v>October</v>
      </c>
    </row>
    <row r="763" spans="1:11" x14ac:dyDescent="0.25">
      <c r="A763" s="1" t="s">
        <v>799</v>
      </c>
      <c r="B763" s="2">
        <v>45931</v>
      </c>
      <c r="C763" s="1" t="s">
        <v>38</v>
      </c>
      <c r="D763" s="1" t="s">
        <v>22</v>
      </c>
      <c r="E763" s="1" t="s">
        <v>18</v>
      </c>
      <c r="F763" s="1" t="s">
        <v>19</v>
      </c>
      <c r="G763" s="1" t="s">
        <v>15</v>
      </c>
      <c r="H763">
        <v>98.58</v>
      </c>
      <c r="I763">
        <v>10</v>
      </c>
      <c r="J763">
        <v>985.8</v>
      </c>
      <c r="K763" t="str">
        <f t="shared" si="11"/>
        <v>October</v>
      </c>
    </row>
    <row r="764" spans="1:11" x14ac:dyDescent="0.25">
      <c r="A764" s="1" t="s">
        <v>800</v>
      </c>
      <c r="B764" s="2">
        <v>45853</v>
      </c>
      <c r="C764" s="1" t="s">
        <v>11</v>
      </c>
      <c r="D764" s="1" t="s">
        <v>12</v>
      </c>
      <c r="E764" s="1" t="s">
        <v>45</v>
      </c>
      <c r="F764" s="1" t="s">
        <v>14</v>
      </c>
      <c r="G764" s="1" t="s">
        <v>36</v>
      </c>
      <c r="H764">
        <v>84.67</v>
      </c>
      <c r="I764">
        <v>5</v>
      </c>
      <c r="J764">
        <v>423.35</v>
      </c>
      <c r="K764" t="str">
        <f t="shared" si="11"/>
        <v>July</v>
      </c>
    </row>
    <row r="765" spans="1:11" x14ac:dyDescent="0.25">
      <c r="A765" s="1" t="s">
        <v>801</v>
      </c>
      <c r="B765" s="2">
        <v>45740</v>
      </c>
      <c r="C765" s="1" t="s">
        <v>17</v>
      </c>
      <c r="D765" s="1" t="s">
        <v>35</v>
      </c>
      <c r="E765" s="1" t="s">
        <v>23</v>
      </c>
      <c r="F765" s="1" t="s">
        <v>39</v>
      </c>
      <c r="G765" s="1" t="s">
        <v>15</v>
      </c>
      <c r="H765">
        <v>193.67</v>
      </c>
      <c r="I765">
        <v>10</v>
      </c>
      <c r="J765">
        <v>1936.7</v>
      </c>
      <c r="K765" t="str">
        <f t="shared" si="11"/>
        <v>March</v>
      </c>
    </row>
    <row r="766" spans="1:11" x14ac:dyDescent="0.25">
      <c r="A766" s="1" t="s">
        <v>802</v>
      </c>
      <c r="B766" s="2">
        <v>46011</v>
      </c>
      <c r="C766" s="1" t="s">
        <v>30</v>
      </c>
      <c r="D766" s="1" t="s">
        <v>55</v>
      </c>
      <c r="E766" s="1" t="s">
        <v>45</v>
      </c>
      <c r="F766" s="1" t="s">
        <v>32</v>
      </c>
      <c r="G766" s="1" t="s">
        <v>36</v>
      </c>
      <c r="H766">
        <v>37.380000000000003</v>
      </c>
      <c r="I766">
        <v>10</v>
      </c>
      <c r="J766">
        <v>373.8</v>
      </c>
      <c r="K766" t="str">
        <f t="shared" si="11"/>
        <v>December</v>
      </c>
    </row>
    <row r="767" spans="1:11" x14ac:dyDescent="0.25">
      <c r="A767" s="1" t="s">
        <v>803</v>
      </c>
      <c r="B767" s="2">
        <v>45710</v>
      </c>
      <c r="C767" s="1" t="s">
        <v>17</v>
      </c>
      <c r="D767" s="1" t="s">
        <v>12</v>
      </c>
      <c r="E767" s="1" t="s">
        <v>18</v>
      </c>
      <c r="F767" s="1" t="s">
        <v>39</v>
      </c>
      <c r="G767" s="1" t="s">
        <v>15</v>
      </c>
      <c r="H767">
        <v>155.38</v>
      </c>
      <c r="I767">
        <v>20</v>
      </c>
      <c r="J767">
        <v>3107.6</v>
      </c>
      <c r="K767" t="str">
        <f t="shared" si="11"/>
        <v>February</v>
      </c>
    </row>
    <row r="768" spans="1:11" x14ac:dyDescent="0.25">
      <c r="A768" s="1" t="s">
        <v>804</v>
      </c>
      <c r="B768" s="2">
        <v>45989</v>
      </c>
      <c r="C768" s="1" t="s">
        <v>38</v>
      </c>
      <c r="D768" s="1" t="s">
        <v>26</v>
      </c>
      <c r="E768" s="1" t="s">
        <v>18</v>
      </c>
      <c r="F768" s="1" t="s">
        <v>39</v>
      </c>
      <c r="G768" s="1" t="s">
        <v>20</v>
      </c>
      <c r="H768">
        <v>197.74</v>
      </c>
      <c r="I768">
        <v>18</v>
      </c>
      <c r="J768">
        <v>3559.32</v>
      </c>
      <c r="K768" t="str">
        <f t="shared" si="11"/>
        <v>November</v>
      </c>
    </row>
    <row r="769" spans="1:11" x14ac:dyDescent="0.25">
      <c r="A769" s="1" t="s">
        <v>805</v>
      </c>
      <c r="B769" s="2">
        <v>45805</v>
      </c>
      <c r="C769" s="1" t="s">
        <v>38</v>
      </c>
      <c r="D769" s="1" t="s">
        <v>31</v>
      </c>
      <c r="E769" s="1" t="s">
        <v>41</v>
      </c>
      <c r="F769" s="1" t="s">
        <v>39</v>
      </c>
      <c r="G769" s="1" t="s">
        <v>20</v>
      </c>
      <c r="H769">
        <v>222.89</v>
      </c>
      <c r="I769">
        <v>2</v>
      </c>
      <c r="J769">
        <v>445.78</v>
      </c>
      <c r="K769" t="str">
        <f t="shared" si="11"/>
        <v>May</v>
      </c>
    </row>
    <row r="770" spans="1:11" x14ac:dyDescent="0.25">
      <c r="A770" s="1" t="s">
        <v>806</v>
      </c>
      <c r="B770" s="2">
        <v>45818</v>
      </c>
      <c r="C770" s="1" t="s">
        <v>11</v>
      </c>
      <c r="D770" s="1" t="s">
        <v>22</v>
      </c>
      <c r="E770" s="1" t="s">
        <v>27</v>
      </c>
      <c r="F770" s="1" t="s">
        <v>32</v>
      </c>
      <c r="G770" s="1" t="s">
        <v>15</v>
      </c>
      <c r="H770">
        <v>105.26</v>
      </c>
      <c r="I770">
        <v>18</v>
      </c>
      <c r="J770">
        <v>1894.68</v>
      </c>
      <c r="K770" t="str">
        <f t="shared" ref="K770:K833" si="12">TEXT(B:B,"MMMM")</f>
        <v>June</v>
      </c>
    </row>
    <row r="771" spans="1:11" x14ac:dyDescent="0.25">
      <c r="A771" s="1" t="s">
        <v>807</v>
      </c>
      <c r="B771" s="2">
        <v>45975</v>
      </c>
      <c r="C771" s="1" t="s">
        <v>30</v>
      </c>
      <c r="D771" s="1" t="s">
        <v>12</v>
      </c>
      <c r="E771" s="1" t="s">
        <v>27</v>
      </c>
      <c r="F771" s="1" t="s">
        <v>28</v>
      </c>
      <c r="G771" s="1" t="s">
        <v>20</v>
      </c>
      <c r="H771">
        <v>210.68</v>
      </c>
      <c r="I771">
        <v>15</v>
      </c>
      <c r="J771">
        <v>3160.2</v>
      </c>
      <c r="K771" t="str">
        <f t="shared" si="12"/>
        <v>November</v>
      </c>
    </row>
    <row r="772" spans="1:11" x14ac:dyDescent="0.25">
      <c r="A772" s="1" t="s">
        <v>808</v>
      </c>
      <c r="B772" s="2">
        <v>45846</v>
      </c>
      <c r="C772" s="1" t="s">
        <v>25</v>
      </c>
      <c r="D772" s="1" t="s">
        <v>12</v>
      </c>
      <c r="E772" s="1" t="s">
        <v>18</v>
      </c>
      <c r="F772" s="1" t="s">
        <v>14</v>
      </c>
      <c r="G772" s="1" t="s">
        <v>20</v>
      </c>
      <c r="H772">
        <v>54.34</v>
      </c>
      <c r="I772">
        <v>19</v>
      </c>
      <c r="J772">
        <v>1032.46</v>
      </c>
      <c r="K772" t="str">
        <f t="shared" si="12"/>
        <v>July</v>
      </c>
    </row>
    <row r="773" spans="1:11" x14ac:dyDescent="0.25">
      <c r="A773" s="1" t="s">
        <v>809</v>
      </c>
      <c r="B773" s="2">
        <v>45757</v>
      </c>
      <c r="C773" s="1" t="s">
        <v>38</v>
      </c>
      <c r="D773" s="1" t="s">
        <v>26</v>
      </c>
      <c r="E773" s="1" t="s">
        <v>27</v>
      </c>
      <c r="F773" s="1" t="s">
        <v>19</v>
      </c>
      <c r="G773" s="1" t="s">
        <v>15</v>
      </c>
      <c r="H773">
        <v>216.22</v>
      </c>
      <c r="I773">
        <v>10</v>
      </c>
      <c r="J773">
        <v>2162.1999999999998</v>
      </c>
      <c r="K773" t="str">
        <f t="shared" si="12"/>
        <v>April</v>
      </c>
    </row>
    <row r="774" spans="1:11" x14ac:dyDescent="0.25">
      <c r="A774" s="1" t="s">
        <v>810</v>
      </c>
      <c r="B774" s="2">
        <v>45746</v>
      </c>
      <c r="C774" s="1" t="s">
        <v>11</v>
      </c>
      <c r="D774" s="1" t="s">
        <v>31</v>
      </c>
      <c r="E774" s="1" t="s">
        <v>45</v>
      </c>
      <c r="F774" s="1" t="s">
        <v>61</v>
      </c>
      <c r="G774" s="1" t="s">
        <v>36</v>
      </c>
      <c r="H774">
        <v>58.05</v>
      </c>
      <c r="I774">
        <v>17</v>
      </c>
      <c r="J774">
        <v>986.85</v>
      </c>
      <c r="K774" t="str">
        <f t="shared" si="12"/>
        <v>March</v>
      </c>
    </row>
    <row r="775" spans="1:11" x14ac:dyDescent="0.25">
      <c r="A775" s="1" t="s">
        <v>811</v>
      </c>
      <c r="B775" s="2">
        <v>45942</v>
      </c>
      <c r="C775" s="1" t="s">
        <v>30</v>
      </c>
      <c r="D775" s="1" t="s">
        <v>26</v>
      </c>
      <c r="E775" s="1" t="s">
        <v>18</v>
      </c>
      <c r="F775" s="1" t="s">
        <v>39</v>
      </c>
      <c r="G775" s="1" t="s">
        <v>36</v>
      </c>
      <c r="H775">
        <v>117.4</v>
      </c>
      <c r="I775">
        <v>9</v>
      </c>
      <c r="J775">
        <v>1056.5999999999999</v>
      </c>
      <c r="K775" t="str">
        <f t="shared" si="12"/>
        <v>October</v>
      </c>
    </row>
    <row r="776" spans="1:11" x14ac:dyDescent="0.25">
      <c r="A776" s="1" t="s">
        <v>812</v>
      </c>
      <c r="B776" s="2">
        <v>45660</v>
      </c>
      <c r="C776" s="1" t="s">
        <v>38</v>
      </c>
      <c r="D776" s="1" t="s">
        <v>12</v>
      </c>
      <c r="E776" s="1" t="s">
        <v>23</v>
      </c>
      <c r="F776" s="1" t="s">
        <v>19</v>
      </c>
      <c r="G776" s="1" t="s">
        <v>15</v>
      </c>
      <c r="H776">
        <v>205.4</v>
      </c>
      <c r="I776">
        <v>11</v>
      </c>
      <c r="J776">
        <v>2259.4</v>
      </c>
      <c r="K776" t="str">
        <f t="shared" si="12"/>
        <v>January</v>
      </c>
    </row>
    <row r="777" spans="1:11" x14ac:dyDescent="0.25">
      <c r="A777" s="1" t="s">
        <v>813</v>
      </c>
      <c r="B777" s="2">
        <v>45823</v>
      </c>
      <c r="C777" s="1" t="s">
        <v>11</v>
      </c>
      <c r="D777" s="1" t="s">
        <v>12</v>
      </c>
      <c r="E777" s="1" t="s">
        <v>18</v>
      </c>
      <c r="F777" s="1" t="s">
        <v>39</v>
      </c>
      <c r="G777" s="1" t="s">
        <v>20</v>
      </c>
      <c r="H777">
        <v>62.98</v>
      </c>
      <c r="I777">
        <v>20</v>
      </c>
      <c r="J777">
        <v>1259.5999999999999</v>
      </c>
      <c r="K777" t="str">
        <f t="shared" si="12"/>
        <v>June</v>
      </c>
    </row>
    <row r="778" spans="1:11" x14ac:dyDescent="0.25">
      <c r="A778" s="1" t="s">
        <v>814</v>
      </c>
      <c r="B778" s="2">
        <v>45812</v>
      </c>
      <c r="C778" s="1" t="s">
        <v>25</v>
      </c>
      <c r="D778" s="1" t="s">
        <v>55</v>
      </c>
      <c r="E778" s="1" t="s">
        <v>13</v>
      </c>
      <c r="F778" s="1" t="s">
        <v>19</v>
      </c>
      <c r="G778" s="1" t="s">
        <v>20</v>
      </c>
      <c r="H778">
        <v>80.44</v>
      </c>
      <c r="I778">
        <v>16</v>
      </c>
      <c r="J778">
        <v>1287.04</v>
      </c>
      <c r="K778" t="str">
        <f t="shared" si="12"/>
        <v>June</v>
      </c>
    </row>
    <row r="779" spans="1:11" x14ac:dyDescent="0.25">
      <c r="A779" s="1" t="s">
        <v>815</v>
      </c>
      <c r="B779" s="2">
        <v>45820</v>
      </c>
      <c r="C779" s="1" t="s">
        <v>30</v>
      </c>
      <c r="D779" s="1" t="s">
        <v>26</v>
      </c>
      <c r="E779" s="1" t="s">
        <v>18</v>
      </c>
      <c r="F779" s="1" t="s">
        <v>19</v>
      </c>
      <c r="G779" s="1" t="s">
        <v>20</v>
      </c>
      <c r="H779">
        <v>188.9</v>
      </c>
      <c r="I779">
        <v>17</v>
      </c>
      <c r="J779">
        <v>3211.3</v>
      </c>
      <c r="K779" t="str">
        <f t="shared" si="12"/>
        <v>June</v>
      </c>
    </row>
    <row r="780" spans="1:11" x14ac:dyDescent="0.25">
      <c r="A780" s="1" t="s">
        <v>816</v>
      </c>
      <c r="B780" s="2">
        <v>45739</v>
      </c>
      <c r="C780" s="1" t="s">
        <v>25</v>
      </c>
      <c r="D780" s="1" t="s">
        <v>55</v>
      </c>
      <c r="E780" s="1" t="s">
        <v>41</v>
      </c>
      <c r="F780" s="1" t="s">
        <v>19</v>
      </c>
      <c r="G780" s="1" t="s">
        <v>36</v>
      </c>
      <c r="H780">
        <v>188.41</v>
      </c>
      <c r="I780">
        <v>14</v>
      </c>
      <c r="J780">
        <v>2637.74</v>
      </c>
      <c r="K780" t="str">
        <f t="shared" si="12"/>
        <v>March</v>
      </c>
    </row>
    <row r="781" spans="1:11" x14ac:dyDescent="0.25">
      <c r="A781" s="1" t="s">
        <v>817</v>
      </c>
      <c r="B781" s="2">
        <v>45771</v>
      </c>
      <c r="C781" s="1" t="s">
        <v>17</v>
      </c>
      <c r="D781" s="1" t="s">
        <v>35</v>
      </c>
      <c r="E781" s="1" t="s">
        <v>13</v>
      </c>
      <c r="F781" s="1" t="s">
        <v>32</v>
      </c>
      <c r="G781" s="1" t="s">
        <v>36</v>
      </c>
      <c r="H781">
        <v>171.05</v>
      </c>
      <c r="I781">
        <v>7</v>
      </c>
      <c r="J781">
        <v>1197.3499999999999</v>
      </c>
      <c r="K781" t="str">
        <f t="shared" si="12"/>
        <v>April</v>
      </c>
    </row>
    <row r="782" spans="1:11" x14ac:dyDescent="0.25">
      <c r="A782" s="1" t="s">
        <v>818</v>
      </c>
      <c r="B782" s="2">
        <v>45769</v>
      </c>
      <c r="C782" s="1" t="s">
        <v>25</v>
      </c>
      <c r="D782" s="1" t="s">
        <v>31</v>
      </c>
      <c r="E782" s="1" t="s">
        <v>18</v>
      </c>
      <c r="F782" s="1" t="s">
        <v>39</v>
      </c>
      <c r="G782" s="1" t="s">
        <v>20</v>
      </c>
      <c r="H782">
        <v>182.67</v>
      </c>
      <c r="I782">
        <v>20</v>
      </c>
      <c r="J782">
        <v>3653.4</v>
      </c>
      <c r="K782" t="str">
        <f t="shared" si="12"/>
        <v>April</v>
      </c>
    </row>
    <row r="783" spans="1:11" x14ac:dyDescent="0.25">
      <c r="A783" s="1" t="s">
        <v>819</v>
      </c>
      <c r="B783" s="2">
        <v>45662</v>
      </c>
      <c r="C783" s="1" t="s">
        <v>17</v>
      </c>
      <c r="D783" s="1" t="s">
        <v>35</v>
      </c>
      <c r="E783" s="1" t="s">
        <v>41</v>
      </c>
      <c r="F783" s="1" t="s">
        <v>14</v>
      </c>
      <c r="G783" s="1" t="s">
        <v>20</v>
      </c>
      <c r="H783">
        <v>149.4</v>
      </c>
      <c r="I783">
        <v>4</v>
      </c>
      <c r="J783">
        <v>597.6</v>
      </c>
      <c r="K783" t="str">
        <f t="shared" si="12"/>
        <v>January</v>
      </c>
    </row>
    <row r="784" spans="1:11" x14ac:dyDescent="0.25">
      <c r="A784" s="1" t="s">
        <v>820</v>
      </c>
      <c r="B784" s="2">
        <v>45972</v>
      </c>
      <c r="C784" s="1" t="s">
        <v>30</v>
      </c>
      <c r="D784" s="1" t="s">
        <v>22</v>
      </c>
      <c r="E784" s="1" t="s">
        <v>27</v>
      </c>
      <c r="F784" s="1" t="s">
        <v>32</v>
      </c>
      <c r="G784" s="1" t="s">
        <v>36</v>
      </c>
      <c r="H784">
        <v>85.4</v>
      </c>
      <c r="I784">
        <v>20</v>
      </c>
      <c r="J784">
        <v>1708</v>
      </c>
      <c r="K784" t="str">
        <f t="shared" si="12"/>
        <v>November</v>
      </c>
    </row>
    <row r="785" spans="1:11" x14ac:dyDescent="0.25">
      <c r="A785" s="1" t="s">
        <v>821</v>
      </c>
      <c r="B785" s="2">
        <v>45716</v>
      </c>
      <c r="C785" s="1" t="s">
        <v>34</v>
      </c>
      <c r="D785" s="1" t="s">
        <v>55</v>
      </c>
      <c r="E785" s="1" t="s">
        <v>27</v>
      </c>
      <c r="F785" s="1" t="s">
        <v>32</v>
      </c>
      <c r="G785" s="1" t="s">
        <v>15</v>
      </c>
      <c r="H785">
        <v>106.05</v>
      </c>
      <c r="I785">
        <v>13</v>
      </c>
      <c r="J785">
        <v>1378.65</v>
      </c>
      <c r="K785" t="str">
        <f t="shared" si="12"/>
        <v>February</v>
      </c>
    </row>
    <row r="786" spans="1:11" x14ac:dyDescent="0.25">
      <c r="A786" s="1" t="s">
        <v>822</v>
      </c>
      <c r="B786" s="2">
        <v>45922</v>
      </c>
      <c r="C786" s="1" t="s">
        <v>25</v>
      </c>
      <c r="D786" s="1" t="s">
        <v>55</v>
      </c>
      <c r="E786" s="1" t="s">
        <v>41</v>
      </c>
      <c r="F786" s="1" t="s">
        <v>61</v>
      </c>
      <c r="G786" s="1" t="s">
        <v>15</v>
      </c>
      <c r="H786">
        <v>69.95</v>
      </c>
      <c r="I786">
        <v>12</v>
      </c>
      <c r="J786">
        <v>839.4</v>
      </c>
      <c r="K786" t="str">
        <f t="shared" si="12"/>
        <v>September</v>
      </c>
    </row>
    <row r="787" spans="1:11" x14ac:dyDescent="0.25">
      <c r="A787" s="1" t="s">
        <v>823</v>
      </c>
      <c r="B787" s="2">
        <v>45809</v>
      </c>
      <c r="C787" s="1" t="s">
        <v>34</v>
      </c>
      <c r="D787" s="1" t="s">
        <v>55</v>
      </c>
      <c r="E787" s="1" t="s">
        <v>45</v>
      </c>
      <c r="F787" s="1" t="s">
        <v>19</v>
      </c>
      <c r="G787" s="1" t="s">
        <v>15</v>
      </c>
      <c r="H787">
        <v>229.86</v>
      </c>
      <c r="I787">
        <v>7</v>
      </c>
      <c r="J787">
        <v>1609.02</v>
      </c>
      <c r="K787" t="str">
        <f t="shared" si="12"/>
        <v>June</v>
      </c>
    </row>
    <row r="788" spans="1:11" x14ac:dyDescent="0.25">
      <c r="A788" s="1" t="s">
        <v>824</v>
      </c>
      <c r="B788" s="2">
        <v>45933</v>
      </c>
      <c r="C788" s="1" t="s">
        <v>11</v>
      </c>
      <c r="D788" s="1" t="s">
        <v>12</v>
      </c>
      <c r="E788" s="1" t="s">
        <v>45</v>
      </c>
      <c r="F788" s="1" t="s">
        <v>14</v>
      </c>
      <c r="G788" s="1" t="s">
        <v>20</v>
      </c>
      <c r="H788">
        <v>158.35</v>
      </c>
      <c r="I788">
        <v>18</v>
      </c>
      <c r="J788">
        <v>2850.3</v>
      </c>
      <c r="K788" t="str">
        <f t="shared" si="12"/>
        <v>October</v>
      </c>
    </row>
    <row r="789" spans="1:11" x14ac:dyDescent="0.25">
      <c r="A789" s="1" t="s">
        <v>825</v>
      </c>
      <c r="B789" s="2">
        <v>45980</v>
      </c>
      <c r="C789" s="1" t="s">
        <v>17</v>
      </c>
      <c r="D789" s="1" t="s">
        <v>31</v>
      </c>
      <c r="E789" s="1" t="s">
        <v>45</v>
      </c>
      <c r="F789" s="1" t="s">
        <v>14</v>
      </c>
      <c r="G789" s="1" t="s">
        <v>20</v>
      </c>
      <c r="H789">
        <v>118.19</v>
      </c>
      <c r="I789">
        <v>7</v>
      </c>
      <c r="J789">
        <v>827.33</v>
      </c>
      <c r="K789" t="str">
        <f t="shared" si="12"/>
        <v>November</v>
      </c>
    </row>
    <row r="790" spans="1:11" x14ac:dyDescent="0.25">
      <c r="A790" s="1" t="s">
        <v>826</v>
      </c>
      <c r="B790" s="2">
        <v>46017</v>
      </c>
      <c r="C790" s="1" t="s">
        <v>17</v>
      </c>
      <c r="D790" s="1" t="s">
        <v>22</v>
      </c>
      <c r="E790" s="1" t="s">
        <v>27</v>
      </c>
      <c r="F790" s="1" t="s">
        <v>28</v>
      </c>
      <c r="G790" s="1" t="s">
        <v>15</v>
      </c>
      <c r="H790">
        <v>131.63999999999999</v>
      </c>
      <c r="I790">
        <v>14</v>
      </c>
      <c r="J790">
        <v>1842.96</v>
      </c>
      <c r="K790" t="str">
        <f t="shared" si="12"/>
        <v>December</v>
      </c>
    </row>
    <row r="791" spans="1:11" x14ac:dyDescent="0.25">
      <c r="A791" s="1" t="s">
        <v>827</v>
      </c>
      <c r="B791" s="2">
        <v>45670</v>
      </c>
      <c r="C791" s="1" t="s">
        <v>17</v>
      </c>
      <c r="D791" s="1" t="s">
        <v>35</v>
      </c>
      <c r="E791" s="1" t="s">
        <v>45</v>
      </c>
      <c r="F791" s="1" t="s">
        <v>19</v>
      </c>
      <c r="G791" s="1" t="s">
        <v>15</v>
      </c>
      <c r="H791">
        <v>238.4</v>
      </c>
      <c r="I791">
        <v>15</v>
      </c>
      <c r="J791">
        <v>3576</v>
      </c>
      <c r="K791" t="str">
        <f t="shared" si="12"/>
        <v>January</v>
      </c>
    </row>
    <row r="792" spans="1:11" x14ac:dyDescent="0.25">
      <c r="A792" s="1" t="s">
        <v>828</v>
      </c>
      <c r="B792" s="2">
        <v>45685</v>
      </c>
      <c r="C792" s="1" t="s">
        <v>34</v>
      </c>
      <c r="D792" s="1" t="s">
        <v>55</v>
      </c>
      <c r="E792" s="1" t="s">
        <v>45</v>
      </c>
      <c r="F792" s="1" t="s">
        <v>42</v>
      </c>
      <c r="G792" s="1" t="s">
        <v>15</v>
      </c>
      <c r="H792">
        <v>63.74</v>
      </c>
      <c r="I792">
        <v>6</v>
      </c>
      <c r="J792">
        <v>382.44</v>
      </c>
      <c r="K792" t="str">
        <f t="shared" si="12"/>
        <v>January</v>
      </c>
    </row>
    <row r="793" spans="1:11" x14ac:dyDescent="0.25">
      <c r="A793" s="1" t="s">
        <v>829</v>
      </c>
      <c r="B793" s="2">
        <v>45790</v>
      </c>
      <c r="C793" s="1" t="s">
        <v>38</v>
      </c>
      <c r="D793" s="1" t="s">
        <v>31</v>
      </c>
      <c r="E793" s="1" t="s">
        <v>27</v>
      </c>
      <c r="F793" s="1" t="s">
        <v>61</v>
      </c>
      <c r="G793" s="1" t="s">
        <v>36</v>
      </c>
      <c r="H793">
        <v>158.97</v>
      </c>
      <c r="I793">
        <v>14</v>
      </c>
      <c r="J793">
        <v>2225.58</v>
      </c>
      <c r="K793" t="str">
        <f t="shared" si="12"/>
        <v>May</v>
      </c>
    </row>
    <row r="794" spans="1:11" x14ac:dyDescent="0.25">
      <c r="A794" s="1" t="s">
        <v>830</v>
      </c>
      <c r="B794" s="2">
        <v>45819</v>
      </c>
      <c r="C794" s="1" t="s">
        <v>38</v>
      </c>
      <c r="D794" s="1" t="s">
        <v>12</v>
      </c>
      <c r="E794" s="1" t="s">
        <v>45</v>
      </c>
      <c r="F794" s="1" t="s">
        <v>42</v>
      </c>
      <c r="G794" s="1" t="s">
        <v>15</v>
      </c>
      <c r="H794">
        <v>141.30000000000001</v>
      </c>
      <c r="I794">
        <v>1</v>
      </c>
      <c r="J794">
        <v>141.30000000000001</v>
      </c>
      <c r="K794" t="str">
        <f t="shared" si="12"/>
        <v>June</v>
      </c>
    </row>
    <row r="795" spans="1:11" x14ac:dyDescent="0.25">
      <c r="A795" s="1" t="s">
        <v>831</v>
      </c>
      <c r="B795" s="2">
        <v>45986</v>
      </c>
      <c r="C795" s="1" t="s">
        <v>11</v>
      </c>
      <c r="D795" s="1" t="s">
        <v>12</v>
      </c>
      <c r="E795" s="1" t="s">
        <v>18</v>
      </c>
      <c r="F795" s="1" t="s">
        <v>19</v>
      </c>
      <c r="G795" s="1" t="s">
        <v>20</v>
      </c>
      <c r="H795">
        <v>164.52</v>
      </c>
      <c r="I795">
        <v>20</v>
      </c>
      <c r="J795">
        <v>3290.4</v>
      </c>
      <c r="K795" t="str">
        <f t="shared" si="12"/>
        <v>November</v>
      </c>
    </row>
    <row r="796" spans="1:11" x14ac:dyDescent="0.25">
      <c r="A796" s="1" t="s">
        <v>832</v>
      </c>
      <c r="B796" s="2">
        <v>45695</v>
      </c>
      <c r="C796" s="1" t="s">
        <v>25</v>
      </c>
      <c r="D796" s="1" t="s">
        <v>22</v>
      </c>
      <c r="E796" s="1" t="s">
        <v>13</v>
      </c>
      <c r="F796" s="1" t="s">
        <v>39</v>
      </c>
      <c r="G796" s="1" t="s">
        <v>20</v>
      </c>
      <c r="H796">
        <v>33.979999999999997</v>
      </c>
      <c r="I796">
        <v>12</v>
      </c>
      <c r="J796">
        <v>407.76</v>
      </c>
      <c r="K796" t="str">
        <f t="shared" si="12"/>
        <v>February</v>
      </c>
    </row>
    <row r="797" spans="1:11" x14ac:dyDescent="0.25">
      <c r="A797" s="1" t="s">
        <v>833</v>
      </c>
      <c r="B797" s="2">
        <v>45812</v>
      </c>
      <c r="C797" s="1" t="s">
        <v>11</v>
      </c>
      <c r="D797" s="1" t="s">
        <v>35</v>
      </c>
      <c r="E797" s="1" t="s">
        <v>41</v>
      </c>
      <c r="F797" s="1" t="s">
        <v>61</v>
      </c>
      <c r="G797" s="1" t="s">
        <v>36</v>
      </c>
      <c r="H797">
        <v>221.87</v>
      </c>
      <c r="I797">
        <v>20</v>
      </c>
      <c r="J797">
        <v>4437.3999999999996</v>
      </c>
      <c r="K797" t="str">
        <f t="shared" si="12"/>
        <v>June</v>
      </c>
    </row>
    <row r="798" spans="1:11" x14ac:dyDescent="0.25">
      <c r="A798" s="1" t="s">
        <v>834</v>
      </c>
      <c r="B798" s="2">
        <v>45996</v>
      </c>
      <c r="C798" s="1" t="s">
        <v>38</v>
      </c>
      <c r="D798" s="1" t="s">
        <v>26</v>
      </c>
      <c r="E798" s="1" t="s">
        <v>18</v>
      </c>
      <c r="F798" s="1" t="s">
        <v>14</v>
      </c>
      <c r="G798" s="1" t="s">
        <v>15</v>
      </c>
      <c r="H798">
        <v>235.07</v>
      </c>
      <c r="I798">
        <v>1</v>
      </c>
      <c r="J798">
        <v>235.07</v>
      </c>
      <c r="K798" t="str">
        <f t="shared" si="12"/>
        <v>December</v>
      </c>
    </row>
    <row r="799" spans="1:11" x14ac:dyDescent="0.25">
      <c r="A799" s="1" t="s">
        <v>835</v>
      </c>
      <c r="B799" s="2">
        <v>45858</v>
      </c>
      <c r="C799" s="1" t="s">
        <v>34</v>
      </c>
      <c r="D799" s="1" t="s">
        <v>12</v>
      </c>
      <c r="E799" s="1" t="s">
        <v>23</v>
      </c>
      <c r="F799" s="1" t="s">
        <v>32</v>
      </c>
      <c r="G799" s="1" t="s">
        <v>20</v>
      </c>
      <c r="H799">
        <v>154.33000000000001</v>
      </c>
      <c r="I799">
        <v>18</v>
      </c>
      <c r="J799">
        <v>2777.94</v>
      </c>
      <c r="K799" t="str">
        <f t="shared" si="12"/>
        <v>July</v>
      </c>
    </row>
    <row r="800" spans="1:11" x14ac:dyDescent="0.25">
      <c r="A800" s="1" t="s">
        <v>836</v>
      </c>
      <c r="B800" s="2">
        <v>45989</v>
      </c>
      <c r="C800" s="1" t="s">
        <v>11</v>
      </c>
      <c r="D800" s="1" t="s">
        <v>55</v>
      </c>
      <c r="E800" s="1" t="s">
        <v>18</v>
      </c>
      <c r="F800" s="1" t="s">
        <v>14</v>
      </c>
      <c r="G800" s="1" t="s">
        <v>15</v>
      </c>
      <c r="H800">
        <v>183.26</v>
      </c>
      <c r="I800">
        <v>12</v>
      </c>
      <c r="J800">
        <v>2199.12</v>
      </c>
      <c r="K800" t="str">
        <f t="shared" si="12"/>
        <v>November</v>
      </c>
    </row>
    <row r="801" spans="1:11" x14ac:dyDescent="0.25">
      <c r="A801" s="1" t="s">
        <v>837</v>
      </c>
      <c r="B801" s="2">
        <v>45679</v>
      </c>
      <c r="C801" s="1" t="s">
        <v>25</v>
      </c>
      <c r="D801" s="1" t="s">
        <v>55</v>
      </c>
      <c r="E801" s="1" t="s">
        <v>41</v>
      </c>
      <c r="F801" s="1" t="s">
        <v>42</v>
      </c>
      <c r="G801" s="1" t="s">
        <v>20</v>
      </c>
      <c r="H801">
        <v>232.95</v>
      </c>
      <c r="I801">
        <v>1</v>
      </c>
      <c r="J801">
        <v>232.95</v>
      </c>
      <c r="K801" t="str">
        <f t="shared" si="12"/>
        <v>January</v>
      </c>
    </row>
    <row r="802" spans="1:11" x14ac:dyDescent="0.25">
      <c r="A802" s="1" t="s">
        <v>838</v>
      </c>
      <c r="B802" s="2">
        <v>45701</v>
      </c>
      <c r="C802" s="1" t="s">
        <v>30</v>
      </c>
      <c r="D802" s="1" t="s">
        <v>12</v>
      </c>
      <c r="E802" s="1" t="s">
        <v>27</v>
      </c>
      <c r="F802" s="1" t="s">
        <v>28</v>
      </c>
      <c r="G802" s="1" t="s">
        <v>36</v>
      </c>
      <c r="H802">
        <v>185.59</v>
      </c>
      <c r="I802">
        <v>10</v>
      </c>
      <c r="J802">
        <v>1855.9</v>
      </c>
      <c r="K802" t="str">
        <f t="shared" si="12"/>
        <v>February</v>
      </c>
    </row>
    <row r="803" spans="1:11" x14ac:dyDescent="0.25">
      <c r="A803" s="1" t="s">
        <v>839</v>
      </c>
      <c r="B803" s="2">
        <v>45766</v>
      </c>
      <c r="C803" s="1" t="s">
        <v>17</v>
      </c>
      <c r="D803" s="1" t="s">
        <v>55</v>
      </c>
      <c r="E803" s="1" t="s">
        <v>23</v>
      </c>
      <c r="F803" s="1" t="s">
        <v>14</v>
      </c>
      <c r="G803" s="1" t="s">
        <v>15</v>
      </c>
      <c r="H803">
        <v>63.56</v>
      </c>
      <c r="I803">
        <v>14</v>
      </c>
      <c r="J803">
        <v>889.84</v>
      </c>
      <c r="K803" t="str">
        <f t="shared" si="12"/>
        <v>April</v>
      </c>
    </row>
    <row r="804" spans="1:11" x14ac:dyDescent="0.25">
      <c r="A804" s="1" t="s">
        <v>840</v>
      </c>
      <c r="B804" s="2">
        <v>45771</v>
      </c>
      <c r="C804" s="1" t="s">
        <v>34</v>
      </c>
      <c r="D804" s="1" t="s">
        <v>26</v>
      </c>
      <c r="E804" s="1" t="s">
        <v>45</v>
      </c>
      <c r="F804" s="1" t="s">
        <v>14</v>
      </c>
      <c r="G804" s="1" t="s">
        <v>20</v>
      </c>
      <c r="H804">
        <v>156.78</v>
      </c>
      <c r="I804">
        <v>20</v>
      </c>
      <c r="J804">
        <v>3135.6</v>
      </c>
      <c r="K804" t="str">
        <f t="shared" si="12"/>
        <v>April</v>
      </c>
    </row>
    <row r="805" spans="1:11" x14ac:dyDescent="0.25">
      <c r="A805" s="1" t="s">
        <v>841</v>
      </c>
      <c r="B805" s="2">
        <v>45948</v>
      </c>
      <c r="C805" s="1" t="s">
        <v>25</v>
      </c>
      <c r="D805" s="1" t="s">
        <v>31</v>
      </c>
      <c r="E805" s="1" t="s">
        <v>27</v>
      </c>
      <c r="F805" s="1" t="s">
        <v>42</v>
      </c>
      <c r="G805" s="1" t="s">
        <v>15</v>
      </c>
      <c r="H805">
        <v>163.47999999999999</v>
      </c>
      <c r="I805">
        <v>2</v>
      </c>
      <c r="J805">
        <v>326.95999999999998</v>
      </c>
      <c r="K805" t="str">
        <f t="shared" si="12"/>
        <v>October</v>
      </c>
    </row>
    <row r="806" spans="1:11" x14ac:dyDescent="0.25">
      <c r="A806" s="1" t="s">
        <v>842</v>
      </c>
      <c r="B806" s="2">
        <v>45806</v>
      </c>
      <c r="C806" s="1" t="s">
        <v>34</v>
      </c>
      <c r="D806" s="1" t="s">
        <v>22</v>
      </c>
      <c r="E806" s="1" t="s">
        <v>23</v>
      </c>
      <c r="F806" s="1" t="s">
        <v>28</v>
      </c>
      <c r="G806" s="1" t="s">
        <v>20</v>
      </c>
      <c r="H806">
        <v>123.31</v>
      </c>
      <c r="I806">
        <v>3</v>
      </c>
      <c r="J806">
        <v>369.93</v>
      </c>
      <c r="K806" t="str">
        <f t="shared" si="12"/>
        <v>May</v>
      </c>
    </row>
    <row r="807" spans="1:11" x14ac:dyDescent="0.25">
      <c r="A807" s="1" t="s">
        <v>843</v>
      </c>
      <c r="B807" s="2">
        <v>45907</v>
      </c>
      <c r="C807" s="1" t="s">
        <v>34</v>
      </c>
      <c r="D807" s="1" t="s">
        <v>26</v>
      </c>
      <c r="E807" s="1" t="s">
        <v>27</v>
      </c>
      <c r="F807" s="1" t="s">
        <v>28</v>
      </c>
      <c r="G807" s="1" t="s">
        <v>15</v>
      </c>
      <c r="H807">
        <v>192.02</v>
      </c>
      <c r="I807">
        <v>11</v>
      </c>
      <c r="J807">
        <v>2112.2199999999998</v>
      </c>
      <c r="K807" t="str">
        <f t="shared" si="12"/>
        <v>September</v>
      </c>
    </row>
    <row r="808" spans="1:11" x14ac:dyDescent="0.25">
      <c r="A808" s="1" t="s">
        <v>844</v>
      </c>
      <c r="B808" s="2">
        <v>45709</v>
      </c>
      <c r="C808" s="1" t="s">
        <v>25</v>
      </c>
      <c r="D808" s="1" t="s">
        <v>22</v>
      </c>
      <c r="E808" s="1" t="s">
        <v>23</v>
      </c>
      <c r="F808" s="1" t="s">
        <v>32</v>
      </c>
      <c r="G808" s="1" t="s">
        <v>36</v>
      </c>
      <c r="H808">
        <v>235.56</v>
      </c>
      <c r="I808">
        <v>10</v>
      </c>
      <c r="J808">
        <v>2355.6</v>
      </c>
      <c r="K808" t="str">
        <f t="shared" si="12"/>
        <v>February</v>
      </c>
    </row>
    <row r="809" spans="1:11" x14ac:dyDescent="0.25">
      <c r="A809" s="1" t="s">
        <v>845</v>
      </c>
      <c r="B809" s="2">
        <v>45888</v>
      </c>
      <c r="C809" s="1" t="s">
        <v>25</v>
      </c>
      <c r="D809" s="1" t="s">
        <v>12</v>
      </c>
      <c r="E809" s="1" t="s">
        <v>13</v>
      </c>
      <c r="F809" s="1" t="s">
        <v>28</v>
      </c>
      <c r="G809" s="1" t="s">
        <v>20</v>
      </c>
      <c r="H809">
        <v>233.63</v>
      </c>
      <c r="I809">
        <v>11</v>
      </c>
      <c r="J809">
        <v>2569.9299999999998</v>
      </c>
      <c r="K809" t="str">
        <f t="shared" si="12"/>
        <v>August</v>
      </c>
    </row>
    <row r="810" spans="1:11" x14ac:dyDescent="0.25">
      <c r="A810" s="1" t="s">
        <v>846</v>
      </c>
      <c r="B810" s="2">
        <v>45736</v>
      </c>
      <c r="C810" s="1" t="s">
        <v>25</v>
      </c>
      <c r="D810" s="1" t="s">
        <v>35</v>
      </c>
      <c r="E810" s="1" t="s">
        <v>13</v>
      </c>
      <c r="F810" s="1" t="s">
        <v>61</v>
      </c>
      <c r="G810" s="1" t="s">
        <v>15</v>
      </c>
      <c r="H810">
        <v>129.18</v>
      </c>
      <c r="I810">
        <v>19</v>
      </c>
      <c r="J810">
        <v>2454.42</v>
      </c>
      <c r="K810" t="str">
        <f t="shared" si="12"/>
        <v>March</v>
      </c>
    </row>
    <row r="811" spans="1:11" x14ac:dyDescent="0.25">
      <c r="A811" s="1" t="s">
        <v>847</v>
      </c>
      <c r="B811" s="2">
        <v>45660</v>
      </c>
      <c r="C811" s="1" t="s">
        <v>30</v>
      </c>
      <c r="D811" s="1" t="s">
        <v>26</v>
      </c>
      <c r="E811" s="1" t="s">
        <v>27</v>
      </c>
      <c r="F811" s="1" t="s">
        <v>28</v>
      </c>
      <c r="G811" s="1" t="s">
        <v>20</v>
      </c>
      <c r="H811">
        <v>54.91</v>
      </c>
      <c r="I811">
        <v>11</v>
      </c>
      <c r="J811">
        <v>604.01</v>
      </c>
      <c r="K811" t="str">
        <f t="shared" si="12"/>
        <v>January</v>
      </c>
    </row>
    <row r="812" spans="1:11" x14ac:dyDescent="0.25">
      <c r="A812" s="1" t="s">
        <v>848</v>
      </c>
      <c r="B812" s="2">
        <v>45881</v>
      </c>
      <c r="C812" s="1" t="s">
        <v>34</v>
      </c>
      <c r="D812" s="1" t="s">
        <v>26</v>
      </c>
      <c r="E812" s="1" t="s">
        <v>27</v>
      </c>
      <c r="F812" s="1" t="s">
        <v>28</v>
      </c>
      <c r="G812" s="1" t="s">
        <v>36</v>
      </c>
      <c r="H812">
        <v>246.67</v>
      </c>
      <c r="I812">
        <v>9</v>
      </c>
      <c r="J812">
        <v>2220.0300000000002</v>
      </c>
      <c r="K812" t="str">
        <f t="shared" si="12"/>
        <v>August</v>
      </c>
    </row>
    <row r="813" spans="1:11" x14ac:dyDescent="0.25">
      <c r="A813" s="1" t="s">
        <v>849</v>
      </c>
      <c r="B813" s="2">
        <v>45903</v>
      </c>
      <c r="C813" s="1" t="s">
        <v>38</v>
      </c>
      <c r="D813" s="1" t="s">
        <v>35</v>
      </c>
      <c r="E813" s="1" t="s">
        <v>13</v>
      </c>
      <c r="F813" s="1" t="s">
        <v>61</v>
      </c>
      <c r="G813" s="1" t="s">
        <v>20</v>
      </c>
      <c r="H813">
        <v>214.56</v>
      </c>
      <c r="I813">
        <v>15</v>
      </c>
      <c r="J813">
        <v>3218.4</v>
      </c>
      <c r="K813" t="str">
        <f t="shared" si="12"/>
        <v>September</v>
      </c>
    </row>
    <row r="814" spans="1:11" x14ac:dyDescent="0.25">
      <c r="A814" s="1" t="s">
        <v>850</v>
      </c>
      <c r="B814" s="2">
        <v>45713</v>
      </c>
      <c r="C814" s="1" t="s">
        <v>17</v>
      </c>
      <c r="D814" s="1" t="s">
        <v>55</v>
      </c>
      <c r="E814" s="1" t="s">
        <v>45</v>
      </c>
      <c r="F814" s="1" t="s">
        <v>39</v>
      </c>
      <c r="G814" s="1" t="s">
        <v>36</v>
      </c>
      <c r="H814">
        <v>57.43</v>
      </c>
      <c r="I814">
        <v>6</v>
      </c>
      <c r="J814">
        <v>344.58</v>
      </c>
      <c r="K814" t="str">
        <f t="shared" si="12"/>
        <v>February</v>
      </c>
    </row>
    <row r="815" spans="1:11" x14ac:dyDescent="0.25">
      <c r="A815" s="1" t="s">
        <v>851</v>
      </c>
      <c r="B815" s="2">
        <v>45729</v>
      </c>
      <c r="C815" s="1" t="s">
        <v>30</v>
      </c>
      <c r="D815" s="1" t="s">
        <v>35</v>
      </c>
      <c r="E815" s="1" t="s">
        <v>27</v>
      </c>
      <c r="F815" s="1" t="s">
        <v>28</v>
      </c>
      <c r="G815" s="1" t="s">
        <v>15</v>
      </c>
      <c r="H815">
        <v>232.59</v>
      </c>
      <c r="I815">
        <v>18</v>
      </c>
      <c r="J815">
        <v>4186.62</v>
      </c>
      <c r="K815" t="str">
        <f t="shared" si="12"/>
        <v>March</v>
      </c>
    </row>
    <row r="816" spans="1:11" x14ac:dyDescent="0.25">
      <c r="A816" s="1" t="s">
        <v>852</v>
      </c>
      <c r="B816" s="2">
        <v>45696</v>
      </c>
      <c r="C816" s="1" t="s">
        <v>25</v>
      </c>
      <c r="D816" s="1" t="s">
        <v>12</v>
      </c>
      <c r="E816" s="1" t="s">
        <v>45</v>
      </c>
      <c r="F816" s="1" t="s">
        <v>39</v>
      </c>
      <c r="G816" s="1" t="s">
        <v>20</v>
      </c>
      <c r="H816">
        <v>221.38</v>
      </c>
      <c r="I816">
        <v>1</v>
      </c>
      <c r="J816">
        <v>221.38</v>
      </c>
      <c r="K816" t="str">
        <f t="shared" si="12"/>
        <v>February</v>
      </c>
    </row>
    <row r="817" spans="1:11" x14ac:dyDescent="0.25">
      <c r="A817" s="1" t="s">
        <v>853</v>
      </c>
      <c r="B817" s="2">
        <v>45954</v>
      </c>
      <c r="C817" s="1" t="s">
        <v>25</v>
      </c>
      <c r="D817" s="1" t="s">
        <v>26</v>
      </c>
      <c r="E817" s="1" t="s">
        <v>45</v>
      </c>
      <c r="F817" s="1" t="s">
        <v>42</v>
      </c>
      <c r="G817" s="1" t="s">
        <v>36</v>
      </c>
      <c r="H817">
        <v>144.13999999999999</v>
      </c>
      <c r="I817">
        <v>13</v>
      </c>
      <c r="J817">
        <v>1873.82</v>
      </c>
      <c r="K817" t="str">
        <f t="shared" si="12"/>
        <v>October</v>
      </c>
    </row>
    <row r="818" spans="1:11" x14ac:dyDescent="0.25">
      <c r="A818" s="1" t="s">
        <v>854</v>
      </c>
      <c r="B818" s="2">
        <v>45936</v>
      </c>
      <c r="C818" s="1" t="s">
        <v>38</v>
      </c>
      <c r="D818" s="1" t="s">
        <v>12</v>
      </c>
      <c r="E818" s="1" t="s">
        <v>23</v>
      </c>
      <c r="F818" s="1" t="s">
        <v>32</v>
      </c>
      <c r="G818" s="1" t="s">
        <v>36</v>
      </c>
      <c r="H818">
        <v>160.08000000000001</v>
      </c>
      <c r="I818">
        <v>18</v>
      </c>
      <c r="J818">
        <v>2881.44</v>
      </c>
      <c r="K818" t="str">
        <f t="shared" si="12"/>
        <v>October</v>
      </c>
    </row>
    <row r="819" spans="1:11" x14ac:dyDescent="0.25">
      <c r="A819" s="1" t="s">
        <v>855</v>
      </c>
      <c r="B819" s="2">
        <v>45772</v>
      </c>
      <c r="C819" s="1" t="s">
        <v>17</v>
      </c>
      <c r="D819" s="1" t="s">
        <v>35</v>
      </c>
      <c r="E819" s="1" t="s">
        <v>23</v>
      </c>
      <c r="F819" s="1" t="s">
        <v>61</v>
      </c>
      <c r="G819" s="1" t="s">
        <v>20</v>
      </c>
      <c r="H819">
        <v>117.78</v>
      </c>
      <c r="I819">
        <v>19</v>
      </c>
      <c r="J819">
        <v>2237.8200000000002</v>
      </c>
      <c r="K819" t="str">
        <f t="shared" si="12"/>
        <v>April</v>
      </c>
    </row>
    <row r="820" spans="1:11" x14ac:dyDescent="0.25">
      <c r="A820" s="1" t="s">
        <v>856</v>
      </c>
      <c r="B820" s="2">
        <v>45919</v>
      </c>
      <c r="C820" s="1" t="s">
        <v>38</v>
      </c>
      <c r="D820" s="1" t="s">
        <v>35</v>
      </c>
      <c r="E820" s="1" t="s">
        <v>18</v>
      </c>
      <c r="F820" s="1" t="s">
        <v>19</v>
      </c>
      <c r="G820" s="1" t="s">
        <v>20</v>
      </c>
      <c r="H820">
        <v>42.05</v>
      </c>
      <c r="I820">
        <v>3</v>
      </c>
      <c r="J820">
        <v>126.15</v>
      </c>
      <c r="K820" t="str">
        <f t="shared" si="12"/>
        <v>September</v>
      </c>
    </row>
    <row r="821" spans="1:11" x14ac:dyDescent="0.25">
      <c r="A821" s="1" t="s">
        <v>857</v>
      </c>
      <c r="B821" s="2">
        <v>45780</v>
      </c>
      <c r="C821" s="1" t="s">
        <v>17</v>
      </c>
      <c r="D821" s="1" t="s">
        <v>26</v>
      </c>
      <c r="E821" s="1" t="s">
        <v>18</v>
      </c>
      <c r="F821" s="1" t="s">
        <v>14</v>
      </c>
      <c r="G821" s="1" t="s">
        <v>36</v>
      </c>
      <c r="H821">
        <v>103.74</v>
      </c>
      <c r="I821">
        <v>20</v>
      </c>
      <c r="J821">
        <v>2074.8000000000002</v>
      </c>
      <c r="K821" t="str">
        <f t="shared" si="12"/>
        <v>May</v>
      </c>
    </row>
    <row r="822" spans="1:11" x14ac:dyDescent="0.25">
      <c r="A822" s="1" t="s">
        <v>858</v>
      </c>
      <c r="B822" s="2">
        <v>45739</v>
      </c>
      <c r="C822" s="1" t="s">
        <v>25</v>
      </c>
      <c r="D822" s="1" t="s">
        <v>55</v>
      </c>
      <c r="E822" s="1" t="s">
        <v>27</v>
      </c>
      <c r="F822" s="1" t="s">
        <v>39</v>
      </c>
      <c r="G822" s="1" t="s">
        <v>15</v>
      </c>
      <c r="H822">
        <v>206.63</v>
      </c>
      <c r="I822">
        <v>6</v>
      </c>
      <c r="J822">
        <v>1239.78</v>
      </c>
      <c r="K822" t="str">
        <f t="shared" si="12"/>
        <v>March</v>
      </c>
    </row>
    <row r="823" spans="1:11" x14ac:dyDescent="0.25">
      <c r="A823" s="1" t="s">
        <v>859</v>
      </c>
      <c r="B823" s="2">
        <v>45905</v>
      </c>
      <c r="C823" s="1" t="s">
        <v>11</v>
      </c>
      <c r="D823" s="1" t="s">
        <v>26</v>
      </c>
      <c r="E823" s="1" t="s">
        <v>41</v>
      </c>
      <c r="F823" s="1" t="s">
        <v>14</v>
      </c>
      <c r="G823" s="1" t="s">
        <v>15</v>
      </c>
      <c r="H823">
        <v>31.02</v>
      </c>
      <c r="I823">
        <v>12</v>
      </c>
      <c r="J823">
        <v>372.24</v>
      </c>
      <c r="K823" t="str">
        <f t="shared" si="12"/>
        <v>September</v>
      </c>
    </row>
    <row r="824" spans="1:11" x14ac:dyDescent="0.25">
      <c r="A824" s="1" t="s">
        <v>860</v>
      </c>
      <c r="B824" s="2">
        <v>45793</v>
      </c>
      <c r="C824" s="1" t="s">
        <v>30</v>
      </c>
      <c r="D824" s="1" t="s">
        <v>22</v>
      </c>
      <c r="E824" s="1" t="s">
        <v>27</v>
      </c>
      <c r="F824" s="1" t="s">
        <v>14</v>
      </c>
      <c r="G824" s="1" t="s">
        <v>20</v>
      </c>
      <c r="H824">
        <v>103.37</v>
      </c>
      <c r="I824">
        <v>12</v>
      </c>
      <c r="J824">
        <v>1240.44</v>
      </c>
      <c r="K824" t="str">
        <f t="shared" si="12"/>
        <v>May</v>
      </c>
    </row>
    <row r="825" spans="1:11" x14ac:dyDescent="0.25">
      <c r="A825" s="1" t="s">
        <v>861</v>
      </c>
      <c r="B825" s="2">
        <v>45842</v>
      </c>
      <c r="C825" s="1" t="s">
        <v>38</v>
      </c>
      <c r="D825" s="1" t="s">
        <v>31</v>
      </c>
      <c r="E825" s="1" t="s">
        <v>45</v>
      </c>
      <c r="F825" s="1" t="s">
        <v>19</v>
      </c>
      <c r="G825" s="1" t="s">
        <v>20</v>
      </c>
      <c r="H825">
        <v>117.6</v>
      </c>
      <c r="I825">
        <v>13</v>
      </c>
      <c r="J825">
        <v>1528.8</v>
      </c>
      <c r="K825" t="str">
        <f t="shared" si="12"/>
        <v>July</v>
      </c>
    </row>
    <row r="826" spans="1:11" x14ac:dyDescent="0.25">
      <c r="A826" s="1" t="s">
        <v>862</v>
      </c>
      <c r="B826" s="2">
        <v>45823</v>
      </c>
      <c r="C826" s="1" t="s">
        <v>17</v>
      </c>
      <c r="D826" s="1" t="s">
        <v>55</v>
      </c>
      <c r="E826" s="1" t="s">
        <v>27</v>
      </c>
      <c r="F826" s="1" t="s">
        <v>39</v>
      </c>
      <c r="G826" s="1" t="s">
        <v>36</v>
      </c>
      <c r="H826">
        <v>148.22999999999999</v>
      </c>
      <c r="I826">
        <v>4</v>
      </c>
      <c r="J826">
        <v>592.91999999999996</v>
      </c>
      <c r="K826" t="str">
        <f t="shared" si="12"/>
        <v>June</v>
      </c>
    </row>
    <row r="827" spans="1:11" x14ac:dyDescent="0.25">
      <c r="A827" s="1" t="s">
        <v>863</v>
      </c>
      <c r="B827" s="2">
        <v>45792</v>
      </c>
      <c r="C827" s="1" t="s">
        <v>25</v>
      </c>
      <c r="D827" s="1" t="s">
        <v>55</v>
      </c>
      <c r="E827" s="1" t="s">
        <v>23</v>
      </c>
      <c r="F827" s="1" t="s">
        <v>61</v>
      </c>
      <c r="G827" s="1" t="s">
        <v>20</v>
      </c>
      <c r="H827">
        <v>232.37</v>
      </c>
      <c r="I827">
        <v>19</v>
      </c>
      <c r="J827">
        <v>4415.03</v>
      </c>
      <c r="K827" t="str">
        <f t="shared" si="12"/>
        <v>May</v>
      </c>
    </row>
    <row r="828" spans="1:11" x14ac:dyDescent="0.25">
      <c r="A828" s="1" t="s">
        <v>864</v>
      </c>
      <c r="B828" s="2">
        <v>45851</v>
      </c>
      <c r="C828" s="1" t="s">
        <v>25</v>
      </c>
      <c r="D828" s="1" t="s">
        <v>12</v>
      </c>
      <c r="E828" s="1" t="s">
        <v>45</v>
      </c>
      <c r="F828" s="1" t="s">
        <v>42</v>
      </c>
      <c r="G828" s="1" t="s">
        <v>36</v>
      </c>
      <c r="H828">
        <v>106.2</v>
      </c>
      <c r="I828">
        <v>12</v>
      </c>
      <c r="J828">
        <v>1274.4000000000001</v>
      </c>
      <c r="K828" t="str">
        <f t="shared" si="12"/>
        <v>July</v>
      </c>
    </row>
    <row r="829" spans="1:11" x14ac:dyDescent="0.25">
      <c r="A829" s="1" t="s">
        <v>865</v>
      </c>
      <c r="B829" s="2">
        <v>45850</v>
      </c>
      <c r="C829" s="1" t="s">
        <v>25</v>
      </c>
      <c r="D829" s="1" t="s">
        <v>31</v>
      </c>
      <c r="E829" s="1" t="s">
        <v>13</v>
      </c>
      <c r="F829" s="1" t="s">
        <v>39</v>
      </c>
      <c r="G829" s="1" t="s">
        <v>36</v>
      </c>
      <c r="H829">
        <v>106.33</v>
      </c>
      <c r="I829">
        <v>8</v>
      </c>
      <c r="J829">
        <v>850.64</v>
      </c>
      <c r="K829" t="str">
        <f t="shared" si="12"/>
        <v>July</v>
      </c>
    </row>
    <row r="830" spans="1:11" x14ac:dyDescent="0.25">
      <c r="A830" s="1" t="s">
        <v>866</v>
      </c>
      <c r="B830" s="2">
        <v>45907</v>
      </c>
      <c r="C830" s="1" t="s">
        <v>25</v>
      </c>
      <c r="D830" s="1" t="s">
        <v>22</v>
      </c>
      <c r="E830" s="1" t="s">
        <v>18</v>
      </c>
      <c r="F830" s="1" t="s">
        <v>14</v>
      </c>
      <c r="G830" s="1" t="s">
        <v>36</v>
      </c>
      <c r="H830">
        <v>192.25</v>
      </c>
      <c r="I830">
        <v>16</v>
      </c>
      <c r="J830">
        <v>3076</v>
      </c>
      <c r="K830" t="str">
        <f t="shared" si="12"/>
        <v>September</v>
      </c>
    </row>
    <row r="831" spans="1:11" x14ac:dyDescent="0.25">
      <c r="A831" s="1" t="s">
        <v>867</v>
      </c>
      <c r="B831" s="2">
        <v>45742</v>
      </c>
      <c r="C831" s="1" t="s">
        <v>11</v>
      </c>
      <c r="D831" s="1" t="s">
        <v>55</v>
      </c>
      <c r="E831" s="1" t="s">
        <v>27</v>
      </c>
      <c r="F831" s="1" t="s">
        <v>32</v>
      </c>
      <c r="G831" s="1" t="s">
        <v>15</v>
      </c>
      <c r="H831">
        <v>129.49</v>
      </c>
      <c r="I831">
        <v>8</v>
      </c>
      <c r="J831">
        <v>1035.92</v>
      </c>
      <c r="K831" t="str">
        <f t="shared" si="12"/>
        <v>March</v>
      </c>
    </row>
    <row r="832" spans="1:11" x14ac:dyDescent="0.25">
      <c r="A832" s="1" t="s">
        <v>868</v>
      </c>
      <c r="B832" s="2">
        <v>45734</v>
      </c>
      <c r="C832" s="1" t="s">
        <v>30</v>
      </c>
      <c r="D832" s="1" t="s">
        <v>35</v>
      </c>
      <c r="E832" s="1" t="s">
        <v>18</v>
      </c>
      <c r="F832" s="1" t="s">
        <v>28</v>
      </c>
      <c r="G832" s="1" t="s">
        <v>15</v>
      </c>
      <c r="H832">
        <v>79.41</v>
      </c>
      <c r="I832">
        <v>6</v>
      </c>
      <c r="J832">
        <v>476.46</v>
      </c>
      <c r="K832" t="str">
        <f t="shared" si="12"/>
        <v>March</v>
      </c>
    </row>
    <row r="833" spans="1:11" x14ac:dyDescent="0.25">
      <c r="A833" s="1" t="s">
        <v>869</v>
      </c>
      <c r="B833" s="2">
        <v>45996</v>
      </c>
      <c r="C833" s="1" t="s">
        <v>38</v>
      </c>
      <c r="D833" s="1" t="s">
        <v>35</v>
      </c>
      <c r="E833" s="1" t="s">
        <v>27</v>
      </c>
      <c r="F833" s="1" t="s">
        <v>19</v>
      </c>
      <c r="G833" s="1" t="s">
        <v>36</v>
      </c>
      <c r="H833">
        <v>129.54</v>
      </c>
      <c r="I833">
        <v>8</v>
      </c>
      <c r="J833">
        <v>1036.32</v>
      </c>
      <c r="K833" t="str">
        <f t="shared" si="12"/>
        <v>December</v>
      </c>
    </row>
    <row r="834" spans="1:11" x14ac:dyDescent="0.25">
      <c r="A834" s="1" t="s">
        <v>870</v>
      </c>
      <c r="B834" s="2">
        <v>46003</v>
      </c>
      <c r="C834" s="1" t="s">
        <v>38</v>
      </c>
      <c r="D834" s="1" t="s">
        <v>26</v>
      </c>
      <c r="E834" s="1" t="s">
        <v>18</v>
      </c>
      <c r="F834" s="1" t="s">
        <v>14</v>
      </c>
      <c r="G834" s="1" t="s">
        <v>20</v>
      </c>
      <c r="H834">
        <v>60.99</v>
      </c>
      <c r="I834">
        <v>16</v>
      </c>
      <c r="J834">
        <v>975.84</v>
      </c>
      <c r="K834" t="str">
        <f t="shared" ref="K834:K897" si="13">TEXT(B:B,"MMMM")</f>
        <v>December</v>
      </c>
    </row>
    <row r="835" spans="1:11" x14ac:dyDescent="0.25">
      <c r="A835" s="1" t="s">
        <v>871</v>
      </c>
      <c r="B835" s="2">
        <v>45868</v>
      </c>
      <c r="C835" s="1" t="s">
        <v>30</v>
      </c>
      <c r="D835" s="1" t="s">
        <v>22</v>
      </c>
      <c r="E835" s="1" t="s">
        <v>23</v>
      </c>
      <c r="F835" s="1" t="s">
        <v>42</v>
      </c>
      <c r="G835" s="1" t="s">
        <v>20</v>
      </c>
      <c r="H835">
        <v>68.81</v>
      </c>
      <c r="I835">
        <v>1</v>
      </c>
      <c r="J835">
        <v>68.81</v>
      </c>
      <c r="K835" t="str">
        <f t="shared" si="13"/>
        <v>July</v>
      </c>
    </row>
    <row r="836" spans="1:11" x14ac:dyDescent="0.25">
      <c r="A836" s="1" t="s">
        <v>872</v>
      </c>
      <c r="B836" s="2">
        <v>45740</v>
      </c>
      <c r="C836" s="1" t="s">
        <v>17</v>
      </c>
      <c r="D836" s="1" t="s">
        <v>55</v>
      </c>
      <c r="E836" s="1" t="s">
        <v>45</v>
      </c>
      <c r="F836" s="1" t="s">
        <v>42</v>
      </c>
      <c r="G836" s="1" t="s">
        <v>15</v>
      </c>
      <c r="H836">
        <v>139.63999999999999</v>
      </c>
      <c r="I836">
        <v>5</v>
      </c>
      <c r="J836">
        <v>698.2</v>
      </c>
      <c r="K836" t="str">
        <f t="shared" si="13"/>
        <v>March</v>
      </c>
    </row>
    <row r="837" spans="1:11" x14ac:dyDescent="0.25">
      <c r="A837" s="1" t="s">
        <v>873</v>
      </c>
      <c r="B837" s="2">
        <v>45686</v>
      </c>
      <c r="C837" s="1" t="s">
        <v>34</v>
      </c>
      <c r="D837" s="1" t="s">
        <v>26</v>
      </c>
      <c r="E837" s="1" t="s">
        <v>18</v>
      </c>
      <c r="F837" s="1" t="s">
        <v>61</v>
      </c>
      <c r="G837" s="1" t="s">
        <v>20</v>
      </c>
      <c r="H837">
        <v>122.16</v>
      </c>
      <c r="I837">
        <v>6</v>
      </c>
      <c r="J837">
        <v>732.96</v>
      </c>
      <c r="K837" t="str">
        <f t="shared" si="13"/>
        <v>January</v>
      </c>
    </row>
    <row r="838" spans="1:11" x14ac:dyDescent="0.25">
      <c r="A838" s="1" t="s">
        <v>874</v>
      </c>
      <c r="B838" s="2">
        <v>45946</v>
      </c>
      <c r="C838" s="1" t="s">
        <v>17</v>
      </c>
      <c r="D838" s="1" t="s">
        <v>12</v>
      </c>
      <c r="E838" s="1" t="s">
        <v>27</v>
      </c>
      <c r="F838" s="1" t="s">
        <v>39</v>
      </c>
      <c r="G838" s="1" t="s">
        <v>36</v>
      </c>
      <c r="H838">
        <v>231.27</v>
      </c>
      <c r="I838">
        <v>1</v>
      </c>
      <c r="J838">
        <v>231.27</v>
      </c>
      <c r="K838" t="str">
        <f t="shared" si="13"/>
        <v>October</v>
      </c>
    </row>
    <row r="839" spans="1:11" x14ac:dyDescent="0.25">
      <c r="A839" s="1" t="s">
        <v>875</v>
      </c>
      <c r="B839" s="2">
        <v>45701</v>
      </c>
      <c r="C839" s="1" t="s">
        <v>38</v>
      </c>
      <c r="D839" s="1" t="s">
        <v>55</v>
      </c>
      <c r="E839" s="1" t="s">
        <v>41</v>
      </c>
      <c r="F839" s="1" t="s">
        <v>39</v>
      </c>
      <c r="G839" s="1" t="s">
        <v>36</v>
      </c>
      <c r="H839">
        <v>109.73</v>
      </c>
      <c r="I839">
        <v>7</v>
      </c>
      <c r="J839">
        <v>768.11</v>
      </c>
      <c r="K839" t="str">
        <f t="shared" si="13"/>
        <v>February</v>
      </c>
    </row>
    <row r="840" spans="1:11" x14ac:dyDescent="0.25">
      <c r="A840" s="1" t="s">
        <v>876</v>
      </c>
      <c r="B840" s="2">
        <v>45745</v>
      </c>
      <c r="C840" s="1" t="s">
        <v>38</v>
      </c>
      <c r="D840" s="1" t="s">
        <v>55</v>
      </c>
      <c r="E840" s="1" t="s">
        <v>23</v>
      </c>
      <c r="F840" s="1" t="s">
        <v>39</v>
      </c>
      <c r="G840" s="1" t="s">
        <v>20</v>
      </c>
      <c r="H840">
        <v>157.72999999999999</v>
      </c>
      <c r="I840">
        <v>8</v>
      </c>
      <c r="J840">
        <v>1261.8399999999999</v>
      </c>
      <c r="K840" t="str">
        <f t="shared" si="13"/>
        <v>March</v>
      </c>
    </row>
    <row r="841" spans="1:11" x14ac:dyDescent="0.25">
      <c r="A841" s="1" t="s">
        <v>877</v>
      </c>
      <c r="B841" s="2">
        <v>45751</v>
      </c>
      <c r="C841" s="1" t="s">
        <v>17</v>
      </c>
      <c r="D841" s="1" t="s">
        <v>55</v>
      </c>
      <c r="E841" s="1" t="s">
        <v>13</v>
      </c>
      <c r="F841" s="1" t="s">
        <v>14</v>
      </c>
      <c r="G841" s="1" t="s">
        <v>20</v>
      </c>
      <c r="H841">
        <v>169.1</v>
      </c>
      <c r="I841">
        <v>20</v>
      </c>
      <c r="J841">
        <v>3382</v>
      </c>
      <c r="K841" t="str">
        <f t="shared" si="13"/>
        <v>April</v>
      </c>
    </row>
    <row r="842" spans="1:11" x14ac:dyDescent="0.25">
      <c r="A842" s="1" t="s">
        <v>878</v>
      </c>
      <c r="B842" s="2">
        <v>46009</v>
      </c>
      <c r="C842" s="1" t="s">
        <v>38</v>
      </c>
      <c r="D842" s="1" t="s">
        <v>55</v>
      </c>
      <c r="E842" s="1" t="s">
        <v>18</v>
      </c>
      <c r="F842" s="1" t="s">
        <v>19</v>
      </c>
      <c r="G842" s="1" t="s">
        <v>15</v>
      </c>
      <c r="H842">
        <v>32.880000000000003</v>
      </c>
      <c r="I842">
        <v>11</v>
      </c>
      <c r="J842">
        <v>361.68</v>
      </c>
      <c r="K842" t="str">
        <f t="shared" si="13"/>
        <v>December</v>
      </c>
    </row>
    <row r="843" spans="1:11" x14ac:dyDescent="0.25">
      <c r="A843" s="1" t="s">
        <v>879</v>
      </c>
      <c r="B843" s="2">
        <v>45851</v>
      </c>
      <c r="C843" s="1" t="s">
        <v>30</v>
      </c>
      <c r="D843" s="1" t="s">
        <v>22</v>
      </c>
      <c r="E843" s="1" t="s">
        <v>45</v>
      </c>
      <c r="F843" s="1" t="s">
        <v>14</v>
      </c>
      <c r="G843" s="1" t="s">
        <v>20</v>
      </c>
      <c r="H843">
        <v>175.98</v>
      </c>
      <c r="I843">
        <v>13</v>
      </c>
      <c r="J843">
        <v>2287.7399999999998</v>
      </c>
      <c r="K843" t="str">
        <f t="shared" si="13"/>
        <v>July</v>
      </c>
    </row>
    <row r="844" spans="1:11" x14ac:dyDescent="0.25">
      <c r="A844" s="1" t="s">
        <v>880</v>
      </c>
      <c r="B844" s="2">
        <v>45916</v>
      </c>
      <c r="C844" s="1" t="s">
        <v>30</v>
      </c>
      <c r="D844" s="1" t="s">
        <v>55</v>
      </c>
      <c r="E844" s="1" t="s">
        <v>45</v>
      </c>
      <c r="F844" s="1" t="s">
        <v>14</v>
      </c>
      <c r="G844" s="1" t="s">
        <v>36</v>
      </c>
      <c r="H844">
        <v>69.17</v>
      </c>
      <c r="I844">
        <v>14</v>
      </c>
      <c r="J844">
        <v>968.38</v>
      </c>
      <c r="K844" t="str">
        <f t="shared" si="13"/>
        <v>September</v>
      </c>
    </row>
    <row r="845" spans="1:11" x14ac:dyDescent="0.25">
      <c r="A845" s="1" t="s">
        <v>881</v>
      </c>
      <c r="B845" s="2">
        <v>45972</v>
      </c>
      <c r="C845" s="1" t="s">
        <v>11</v>
      </c>
      <c r="D845" s="1" t="s">
        <v>55</v>
      </c>
      <c r="E845" s="1" t="s">
        <v>18</v>
      </c>
      <c r="F845" s="1" t="s">
        <v>39</v>
      </c>
      <c r="G845" s="1" t="s">
        <v>15</v>
      </c>
      <c r="H845">
        <v>241.44</v>
      </c>
      <c r="I845">
        <v>20</v>
      </c>
      <c r="J845">
        <v>4828.8</v>
      </c>
      <c r="K845" t="str">
        <f t="shared" si="13"/>
        <v>November</v>
      </c>
    </row>
    <row r="846" spans="1:11" x14ac:dyDescent="0.25">
      <c r="A846" s="1" t="s">
        <v>882</v>
      </c>
      <c r="B846" s="2">
        <v>45705</v>
      </c>
      <c r="C846" s="1" t="s">
        <v>17</v>
      </c>
      <c r="D846" s="1" t="s">
        <v>26</v>
      </c>
      <c r="E846" s="1" t="s">
        <v>18</v>
      </c>
      <c r="F846" s="1" t="s">
        <v>42</v>
      </c>
      <c r="G846" s="1" t="s">
        <v>15</v>
      </c>
      <c r="H846">
        <v>62.71</v>
      </c>
      <c r="I846">
        <v>16</v>
      </c>
      <c r="J846">
        <v>1003.36</v>
      </c>
      <c r="K846" t="str">
        <f t="shared" si="13"/>
        <v>February</v>
      </c>
    </row>
    <row r="847" spans="1:11" x14ac:dyDescent="0.25">
      <c r="A847" s="1" t="s">
        <v>883</v>
      </c>
      <c r="B847" s="2">
        <v>46005</v>
      </c>
      <c r="C847" s="1" t="s">
        <v>25</v>
      </c>
      <c r="D847" s="1" t="s">
        <v>31</v>
      </c>
      <c r="E847" s="1" t="s">
        <v>13</v>
      </c>
      <c r="F847" s="1" t="s">
        <v>39</v>
      </c>
      <c r="G847" s="1" t="s">
        <v>15</v>
      </c>
      <c r="H847">
        <v>121.22</v>
      </c>
      <c r="I847">
        <v>14</v>
      </c>
      <c r="J847">
        <v>1697.08</v>
      </c>
      <c r="K847" t="str">
        <f t="shared" si="13"/>
        <v>December</v>
      </c>
    </row>
    <row r="848" spans="1:11" x14ac:dyDescent="0.25">
      <c r="A848" s="1" t="s">
        <v>884</v>
      </c>
      <c r="B848" s="2">
        <v>46015</v>
      </c>
      <c r="C848" s="1" t="s">
        <v>38</v>
      </c>
      <c r="D848" s="1" t="s">
        <v>26</v>
      </c>
      <c r="E848" s="1" t="s">
        <v>41</v>
      </c>
      <c r="F848" s="1" t="s">
        <v>39</v>
      </c>
      <c r="G848" s="1" t="s">
        <v>36</v>
      </c>
      <c r="H848">
        <v>48.78</v>
      </c>
      <c r="I848">
        <v>17</v>
      </c>
      <c r="J848">
        <v>829.26</v>
      </c>
      <c r="K848" t="str">
        <f t="shared" si="13"/>
        <v>December</v>
      </c>
    </row>
    <row r="849" spans="1:11" x14ac:dyDescent="0.25">
      <c r="A849" s="1" t="s">
        <v>885</v>
      </c>
      <c r="B849" s="2">
        <v>45837</v>
      </c>
      <c r="C849" s="1" t="s">
        <v>17</v>
      </c>
      <c r="D849" s="1" t="s">
        <v>12</v>
      </c>
      <c r="E849" s="1" t="s">
        <v>18</v>
      </c>
      <c r="F849" s="1" t="s">
        <v>19</v>
      </c>
      <c r="G849" s="1" t="s">
        <v>36</v>
      </c>
      <c r="H849">
        <v>249.31</v>
      </c>
      <c r="I849">
        <v>19</v>
      </c>
      <c r="J849">
        <v>4736.8900000000003</v>
      </c>
      <c r="K849" t="str">
        <f t="shared" si="13"/>
        <v>June</v>
      </c>
    </row>
    <row r="850" spans="1:11" x14ac:dyDescent="0.25">
      <c r="A850" s="1" t="s">
        <v>886</v>
      </c>
      <c r="B850" s="2">
        <v>45726</v>
      </c>
      <c r="C850" s="1" t="s">
        <v>38</v>
      </c>
      <c r="D850" s="1" t="s">
        <v>26</v>
      </c>
      <c r="E850" s="1" t="s">
        <v>45</v>
      </c>
      <c r="F850" s="1" t="s">
        <v>32</v>
      </c>
      <c r="G850" s="1" t="s">
        <v>20</v>
      </c>
      <c r="H850">
        <v>140.47999999999999</v>
      </c>
      <c r="I850">
        <v>9</v>
      </c>
      <c r="J850">
        <v>1264.32</v>
      </c>
      <c r="K850" t="str">
        <f t="shared" si="13"/>
        <v>March</v>
      </c>
    </row>
    <row r="851" spans="1:11" x14ac:dyDescent="0.25">
      <c r="A851" s="1" t="s">
        <v>887</v>
      </c>
      <c r="B851" s="2">
        <v>45936</v>
      </c>
      <c r="C851" s="1" t="s">
        <v>34</v>
      </c>
      <c r="D851" s="1" t="s">
        <v>26</v>
      </c>
      <c r="E851" s="1" t="s">
        <v>45</v>
      </c>
      <c r="F851" s="1" t="s">
        <v>28</v>
      </c>
      <c r="G851" s="1" t="s">
        <v>20</v>
      </c>
      <c r="H851">
        <v>160.97999999999999</v>
      </c>
      <c r="I851">
        <v>14</v>
      </c>
      <c r="J851">
        <v>2253.7199999999998</v>
      </c>
      <c r="K851" t="str">
        <f t="shared" si="13"/>
        <v>October</v>
      </c>
    </row>
    <row r="852" spans="1:11" x14ac:dyDescent="0.25">
      <c r="A852" s="1" t="s">
        <v>888</v>
      </c>
      <c r="B852" s="2">
        <v>45661</v>
      </c>
      <c r="C852" s="1" t="s">
        <v>25</v>
      </c>
      <c r="D852" s="1" t="s">
        <v>22</v>
      </c>
      <c r="E852" s="1" t="s">
        <v>18</v>
      </c>
      <c r="F852" s="1" t="s">
        <v>19</v>
      </c>
      <c r="G852" s="1" t="s">
        <v>36</v>
      </c>
      <c r="H852">
        <v>44.76</v>
      </c>
      <c r="I852">
        <v>19</v>
      </c>
      <c r="J852">
        <v>850.44</v>
      </c>
      <c r="K852" t="str">
        <f t="shared" si="13"/>
        <v>January</v>
      </c>
    </row>
    <row r="853" spans="1:11" x14ac:dyDescent="0.25">
      <c r="A853" s="1" t="s">
        <v>889</v>
      </c>
      <c r="B853" s="2">
        <v>45993</v>
      </c>
      <c r="C853" s="1" t="s">
        <v>17</v>
      </c>
      <c r="D853" s="1" t="s">
        <v>35</v>
      </c>
      <c r="E853" s="1" t="s">
        <v>41</v>
      </c>
      <c r="F853" s="1" t="s">
        <v>32</v>
      </c>
      <c r="G853" s="1" t="s">
        <v>15</v>
      </c>
      <c r="H853">
        <v>194.99</v>
      </c>
      <c r="I853">
        <v>7</v>
      </c>
      <c r="J853">
        <v>1364.93</v>
      </c>
      <c r="K853" t="str">
        <f t="shared" si="13"/>
        <v>December</v>
      </c>
    </row>
    <row r="854" spans="1:11" x14ac:dyDescent="0.25">
      <c r="A854" s="1" t="s">
        <v>890</v>
      </c>
      <c r="B854" s="2">
        <v>45737</v>
      </c>
      <c r="C854" s="1" t="s">
        <v>17</v>
      </c>
      <c r="D854" s="1" t="s">
        <v>55</v>
      </c>
      <c r="E854" s="1" t="s">
        <v>13</v>
      </c>
      <c r="F854" s="1" t="s">
        <v>32</v>
      </c>
      <c r="G854" s="1" t="s">
        <v>20</v>
      </c>
      <c r="H854">
        <v>76.180000000000007</v>
      </c>
      <c r="I854">
        <v>14</v>
      </c>
      <c r="J854">
        <v>1066.52</v>
      </c>
      <c r="K854" t="str">
        <f t="shared" si="13"/>
        <v>March</v>
      </c>
    </row>
    <row r="855" spans="1:11" x14ac:dyDescent="0.25">
      <c r="A855" s="1" t="s">
        <v>891</v>
      </c>
      <c r="B855" s="2">
        <v>45874</v>
      </c>
      <c r="C855" s="1" t="s">
        <v>34</v>
      </c>
      <c r="D855" s="1" t="s">
        <v>55</v>
      </c>
      <c r="E855" s="1" t="s">
        <v>13</v>
      </c>
      <c r="F855" s="1" t="s">
        <v>28</v>
      </c>
      <c r="G855" s="1" t="s">
        <v>36</v>
      </c>
      <c r="H855">
        <v>227.57</v>
      </c>
      <c r="I855">
        <v>19</v>
      </c>
      <c r="J855">
        <v>4323.83</v>
      </c>
      <c r="K855" t="str">
        <f t="shared" si="13"/>
        <v>August</v>
      </c>
    </row>
    <row r="856" spans="1:11" x14ac:dyDescent="0.25">
      <c r="A856" s="1" t="s">
        <v>892</v>
      </c>
      <c r="B856" s="2">
        <v>45762</v>
      </c>
      <c r="C856" s="1" t="s">
        <v>25</v>
      </c>
      <c r="D856" s="1" t="s">
        <v>55</v>
      </c>
      <c r="E856" s="1" t="s">
        <v>41</v>
      </c>
      <c r="F856" s="1" t="s">
        <v>14</v>
      </c>
      <c r="G856" s="1" t="s">
        <v>36</v>
      </c>
      <c r="H856">
        <v>75.13</v>
      </c>
      <c r="I856">
        <v>14</v>
      </c>
      <c r="J856">
        <v>1051.82</v>
      </c>
      <c r="K856" t="str">
        <f t="shared" si="13"/>
        <v>April</v>
      </c>
    </row>
    <row r="857" spans="1:11" x14ac:dyDescent="0.25">
      <c r="A857" s="1" t="s">
        <v>893</v>
      </c>
      <c r="B857" s="2">
        <v>45944</v>
      </c>
      <c r="C857" s="1" t="s">
        <v>38</v>
      </c>
      <c r="D857" s="1" t="s">
        <v>35</v>
      </c>
      <c r="E857" s="1" t="s">
        <v>13</v>
      </c>
      <c r="F857" s="1" t="s">
        <v>42</v>
      </c>
      <c r="G857" s="1" t="s">
        <v>36</v>
      </c>
      <c r="H857">
        <v>71.95</v>
      </c>
      <c r="I857">
        <v>18</v>
      </c>
      <c r="J857">
        <v>1295.0999999999999</v>
      </c>
      <c r="K857" t="str">
        <f t="shared" si="13"/>
        <v>October</v>
      </c>
    </row>
    <row r="858" spans="1:11" x14ac:dyDescent="0.25">
      <c r="A858" s="1" t="s">
        <v>894</v>
      </c>
      <c r="B858" s="2">
        <v>46019</v>
      </c>
      <c r="C858" s="1" t="s">
        <v>17</v>
      </c>
      <c r="D858" s="1" t="s">
        <v>26</v>
      </c>
      <c r="E858" s="1" t="s">
        <v>27</v>
      </c>
      <c r="F858" s="1" t="s">
        <v>19</v>
      </c>
      <c r="G858" s="1" t="s">
        <v>20</v>
      </c>
      <c r="H858">
        <v>38.04</v>
      </c>
      <c r="I858">
        <v>13</v>
      </c>
      <c r="J858">
        <v>494.52</v>
      </c>
      <c r="K858" t="str">
        <f t="shared" si="13"/>
        <v>December</v>
      </c>
    </row>
    <row r="859" spans="1:11" x14ac:dyDescent="0.25">
      <c r="A859" s="1" t="s">
        <v>895</v>
      </c>
      <c r="B859" s="2">
        <v>45775</v>
      </c>
      <c r="C859" s="1" t="s">
        <v>17</v>
      </c>
      <c r="D859" s="1" t="s">
        <v>26</v>
      </c>
      <c r="E859" s="1" t="s">
        <v>45</v>
      </c>
      <c r="F859" s="1" t="s">
        <v>14</v>
      </c>
      <c r="G859" s="1" t="s">
        <v>20</v>
      </c>
      <c r="H859">
        <v>133.85</v>
      </c>
      <c r="I859">
        <v>15</v>
      </c>
      <c r="J859">
        <v>2007.75</v>
      </c>
      <c r="K859" t="str">
        <f t="shared" si="13"/>
        <v>April</v>
      </c>
    </row>
    <row r="860" spans="1:11" x14ac:dyDescent="0.25">
      <c r="A860" s="1" t="s">
        <v>896</v>
      </c>
      <c r="B860" s="2">
        <v>45863</v>
      </c>
      <c r="C860" s="1" t="s">
        <v>25</v>
      </c>
      <c r="D860" s="1" t="s">
        <v>55</v>
      </c>
      <c r="E860" s="1" t="s">
        <v>27</v>
      </c>
      <c r="F860" s="1" t="s">
        <v>28</v>
      </c>
      <c r="G860" s="1" t="s">
        <v>20</v>
      </c>
      <c r="H860">
        <v>154.27000000000001</v>
      </c>
      <c r="I860">
        <v>11</v>
      </c>
      <c r="J860">
        <v>1696.97</v>
      </c>
      <c r="K860" t="str">
        <f t="shared" si="13"/>
        <v>July</v>
      </c>
    </row>
    <row r="861" spans="1:11" x14ac:dyDescent="0.25">
      <c r="A861" s="1" t="s">
        <v>897</v>
      </c>
      <c r="B861" s="2">
        <v>45684</v>
      </c>
      <c r="C861" s="1" t="s">
        <v>38</v>
      </c>
      <c r="D861" s="1" t="s">
        <v>12</v>
      </c>
      <c r="E861" s="1" t="s">
        <v>45</v>
      </c>
      <c r="F861" s="1" t="s">
        <v>39</v>
      </c>
      <c r="G861" s="1" t="s">
        <v>15</v>
      </c>
      <c r="H861">
        <v>44.46</v>
      </c>
      <c r="I861">
        <v>6</v>
      </c>
      <c r="J861">
        <v>266.76</v>
      </c>
      <c r="K861" t="str">
        <f t="shared" si="13"/>
        <v>January</v>
      </c>
    </row>
    <row r="862" spans="1:11" x14ac:dyDescent="0.25">
      <c r="A862" s="1" t="s">
        <v>898</v>
      </c>
      <c r="B862" s="2">
        <v>45732</v>
      </c>
      <c r="C862" s="1" t="s">
        <v>25</v>
      </c>
      <c r="D862" s="1" t="s">
        <v>31</v>
      </c>
      <c r="E862" s="1" t="s">
        <v>45</v>
      </c>
      <c r="F862" s="1" t="s">
        <v>19</v>
      </c>
      <c r="G862" s="1" t="s">
        <v>36</v>
      </c>
      <c r="H862">
        <v>200.62</v>
      </c>
      <c r="I862">
        <v>16</v>
      </c>
      <c r="J862">
        <v>3209.92</v>
      </c>
      <c r="K862" t="str">
        <f t="shared" si="13"/>
        <v>March</v>
      </c>
    </row>
    <row r="863" spans="1:11" x14ac:dyDescent="0.25">
      <c r="A863" s="1" t="s">
        <v>899</v>
      </c>
      <c r="B863" s="2">
        <v>45771</v>
      </c>
      <c r="C863" s="1" t="s">
        <v>11</v>
      </c>
      <c r="D863" s="1" t="s">
        <v>55</v>
      </c>
      <c r="E863" s="1" t="s">
        <v>45</v>
      </c>
      <c r="F863" s="1" t="s">
        <v>28</v>
      </c>
      <c r="G863" s="1" t="s">
        <v>36</v>
      </c>
      <c r="H863">
        <v>129.72</v>
      </c>
      <c r="I863">
        <v>12</v>
      </c>
      <c r="J863">
        <v>1556.64</v>
      </c>
      <c r="K863" t="str">
        <f t="shared" si="13"/>
        <v>April</v>
      </c>
    </row>
    <row r="864" spans="1:11" x14ac:dyDescent="0.25">
      <c r="A864" s="1" t="s">
        <v>900</v>
      </c>
      <c r="B864" s="2">
        <v>45863</v>
      </c>
      <c r="C864" s="1" t="s">
        <v>17</v>
      </c>
      <c r="D864" s="1" t="s">
        <v>55</v>
      </c>
      <c r="E864" s="1" t="s">
        <v>13</v>
      </c>
      <c r="F864" s="1" t="s">
        <v>28</v>
      </c>
      <c r="G864" s="1" t="s">
        <v>20</v>
      </c>
      <c r="H864">
        <v>145.37</v>
      </c>
      <c r="I864">
        <v>20</v>
      </c>
      <c r="J864">
        <v>2907.4</v>
      </c>
      <c r="K864" t="str">
        <f t="shared" si="13"/>
        <v>July</v>
      </c>
    </row>
    <row r="865" spans="1:11" x14ac:dyDescent="0.25">
      <c r="A865" s="1" t="s">
        <v>901</v>
      </c>
      <c r="B865" s="2">
        <v>45687</v>
      </c>
      <c r="C865" s="1" t="s">
        <v>17</v>
      </c>
      <c r="D865" s="1" t="s">
        <v>31</v>
      </c>
      <c r="E865" s="1" t="s">
        <v>41</v>
      </c>
      <c r="F865" s="1" t="s">
        <v>19</v>
      </c>
      <c r="G865" s="1" t="s">
        <v>15</v>
      </c>
      <c r="H865">
        <v>126.97</v>
      </c>
      <c r="I865">
        <v>6</v>
      </c>
      <c r="J865">
        <v>761.82</v>
      </c>
      <c r="K865" t="str">
        <f t="shared" si="13"/>
        <v>January</v>
      </c>
    </row>
    <row r="866" spans="1:11" x14ac:dyDescent="0.25">
      <c r="A866" s="1" t="s">
        <v>902</v>
      </c>
      <c r="B866" s="2">
        <v>45994</v>
      </c>
      <c r="C866" s="1" t="s">
        <v>34</v>
      </c>
      <c r="D866" s="1" t="s">
        <v>26</v>
      </c>
      <c r="E866" s="1" t="s">
        <v>45</v>
      </c>
      <c r="F866" s="1" t="s">
        <v>39</v>
      </c>
      <c r="G866" s="1" t="s">
        <v>20</v>
      </c>
      <c r="H866">
        <v>118.17</v>
      </c>
      <c r="I866">
        <v>17</v>
      </c>
      <c r="J866">
        <v>2008.89</v>
      </c>
      <c r="K866" t="str">
        <f t="shared" si="13"/>
        <v>December</v>
      </c>
    </row>
    <row r="867" spans="1:11" x14ac:dyDescent="0.25">
      <c r="A867" s="1" t="s">
        <v>903</v>
      </c>
      <c r="B867" s="2">
        <v>45919</v>
      </c>
      <c r="C867" s="1" t="s">
        <v>17</v>
      </c>
      <c r="D867" s="1" t="s">
        <v>26</v>
      </c>
      <c r="E867" s="1" t="s">
        <v>18</v>
      </c>
      <c r="F867" s="1" t="s">
        <v>14</v>
      </c>
      <c r="G867" s="1" t="s">
        <v>20</v>
      </c>
      <c r="H867">
        <v>153.12</v>
      </c>
      <c r="I867">
        <v>17</v>
      </c>
      <c r="J867">
        <v>2603.04</v>
      </c>
      <c r="K867" t="str">
        <f t="shared" si="13"/>
        <v>September</v>
      </c>
    </row>
    <row r="868" spans="1:11" x14ac:dyDescent="0.25">
      <c r="A868" s="1" t="s">
        <v>904</v>
      </c>
      <c r="B868" s="2">
        <v>45676</v>
      </c>
      <c r="C868" s="1" t="s">
        <v>30</v>
      </c>
      <c r="D868" s="1" t="s">
        <v>12</v>
      </c>
      <c r="E868" s="1" t="s">
        <v>45</v>
      </c>
      <c r="F868" s="1" t="s">
        <v>14</v>
      </c>
      <c r="G868" s="1" t="s">
        <v>15</v>
      </c>
      <c r="H868">
        <v>64.150000000000006</v>
      </c>
      <c r="I868">
        <v>12</v>
      </c>
      <c r="J868">
        <v>769.8</v>
      </c>
      <c r="K868" t="str">
        <f t="shared" si="13"/>
        <v>January</v>
      </c>
    </row>
    <row r="869" spans="1:11" x14ac:dyDescent="0.25">
      <c r="A869" s="1" t="s">
        <v>905</v>
      </c>
      <c r="B869" s="2">
        <v>45799</v>
      </c>
      <c r="C869" s="1" t="s">
        <v>34</v>
      </c>
      <c r="D869" s="1" t="s">
        <v>12</v>
      </c>
      <c r="E869" s="1" t="s">
        <v>41</v>
      </c>
      <c r="F869" s="1" t="s">
        <v>61</v>
      </c>
      <c r="G869" s="1" t="s">
        <v>20</v>
      </c>
      <c r="H869">
        <v>70.02</v>
      </c>
      <c r="I869">
        <v>13</v>
      </c>
      <c r="J869">
        <v>910.26</v>
      </c>
      <c r="K869" t="str">
        <f t="shared" si="13"/>
        <v>May</v>
      </c>
    </row>
    <row r="870" spans="1:11" x14ac:dyDescent="0.25">
      <c r="A870" s="1" t="s">
        <v>906</v>
      </c>
      <c r="B870" s="2">
        <v>45760</v>
      </c>
      <c r="C870" s="1" t="s">
        <v>11</v>
      </c>
      <c r="D870" s="1" t="s">
        <v>12</v>
      </c>
      <c r="E870" s="1" t="s">
        <v>27</v>
      </c>
      <c r="F870" s="1" t="s">
        <v>19</v>
      </c>
      <c r="G870" s="1" t="s">
        <v>15</v>
      </c>
      <c r="H870">
        <v>219.59</v>
      </c>
      <c r="I870">
        <v>17</v>
      </c>
      <c r="J870">
        <v>3733.03</v>
      </c>
      <c r="K870" t="str">
        <f t="shared" si="13"/>
        <v>April</v>
      </c>
    </row>
    <row r="871" spans="1:11" x14ac:dyDescent="0.25">
      <c r="A871" s="1" t="s">
        <v>907</v>
      </c>
      <c r="B871" s="2">
        <v>45939</v>
      </c>
      <c r="C871" s="1" t="s">
        <v>17</v>
      </c>
      <c r="D871" s="1" t="s">
        <v>55</v>
      </c>
      <c r="E871" s="1" t="s">
        <v>18</v>
      </c>
      <c r="F871" s="1" t="s">
        <v>32</v>
      </c>
      <c r="G871" s="1" t="s">
        <v>36</v>
      </c>
      <c r="H871">
        <v>238.15</v>
      </c>
      <c r="I871">
        <v>10</v>
      </c>
      <c r="J871">
        <v>2381.5</v>
      </c>
      <c r="K871" t="str">
        <f t="shared" si="13"/>
        <v>October</v>
      </c>
    </row>
    <row r="872" spans="1:11" x14ac:dyDescent="0.25">
      <c r="A872" s="1" t="s">
        <v>908</v>
      </c>
      <c r="B872" s="2">
        <v>45799</v>
      </c>
      <c r="C872" s="1" t="s">
        <v>25</v>
      </c>
      <c r="D872" s="1" t="s">
        <v>26</v>
      </c>
      <c r="E872" s="1" t="s">
        <v>41</v>
      </c>
      <c r="F872" s="1" t="s">
        <v>61</v>
      </c>
      <c r="G872" s="1" t="s">
        <v>20</v>
      </c>
      <c r="H872">
        <v>112.13</v>
      </c>
      <c r="I872">
        <v>8</v>
      </c>
      <c r="J872">
        <v>897.04</v>
      </c>
      <c r="K872" t="str">
        <f t="shared" si="13"/>
        <v>May</v>
      </c>
    </row>
    <row r="873" spans="1:11" x14ac:dyDescent="0.25">
      <c r="A873" s="1" t="s">
        <v>909</v>
      </c>
      <c r="B873" s="2">
        <v>45660</v>
      </c>
      <c r="C873" s="1" t="s">
        <v>30</v>
      </c>
      <c r="D873" s="1" t="s">
        <v>31</v>
      </c>
      <c r="E873" s="1" t="s">
        <v>18</v>
      </c>
      <c r="F873" s="1" t="s">
        <v>19</v>
      </c>
      <c r="G873" s="1" t="s">
        <v>20</v>
      </c>
      <c r="H873">
        <v>89.56</v>
      </c>
      <c r="I873">
        <v>9</v>
      </c>
      <c r="J873">
        <v>806.04</v>
      </c>
      <c r="K873" t="str">
        <f t="shared" si="13"/>
        <v>January</v>
      </c>
    </row>
    <row r="874" spans="1:11" x14ac:dyDescent="0.25">
      <c r="A874" s="1" t="s">
        <v>910</v>
      </c>
      <c r="B874" s="2">
        <v>45695</v>
      </c>
      <c r="C874" s="1" t="s">
        <v>34</v>
      </c>
      <c r="D874" s="1" t="s">
        <v>35</v>
      </c>
      <c r="E874" s="1" t="s">
        <v>45</v>
      </c>
      <c r="F874" s="1" t="s">
        <v>39</v>
      </c>
      <c r="G874" s="1" t="s">
        <v>20</v>
      </c>
      <c r="H874">
        <v>171.68</v>
      </c>
      <c r="I874">
        <v>17</v>
      </c>
      <c r="J874">
        <v>2918.56</v>
      </c>
      <c r="K874" t="str">
        <f t="shared" si="13"/>
        <v>February</v>
      </c>
    </row>
    <row r="875" spans="1:11" x14ac:dyDescent="0.25">
      <c r="A875" s="1" t="s">
        <v>911</v>
      </c>
      <c r="B875" s="2">
        <v>45789</v>
      </c>
      <c r="C875" s="1" t="s">
        <v>25</v>
      </c>
      <c r="D875" s="1" t="s">
        <v>35</v>
      </c>
      <c r="E875" s="1" t="s">
        <v>27</v>
      </c>
      <c r="F875" s="1" t="s">
        <v>61</v>
      </c>
      <c r="G875" s="1" t="s">
        <v>36</v>
      </c>
      <c r="H875">
        <v>119.92</v>
      </c>
      <c r="I875">
        <v>18</v>
      </c>
      <c r="J875">
        <v>2158.56</v>
      </c>
      <c r="K875" t="str">
        <f t="shared" si="13"/>
        <v>May</v>
      </c>
    </row>
    <row r="876" spans="1:11" x14ac:dyDescent="0.25">
      <c r="A876" s="1" t="s">
        <v>912</v>
      </c>
      <c r="B876" s="2">
        <v>45946</v>
      </c>
      <c r="C876" s="1" t="s">
        <v>30</v>
      </c>
      <c r="D876" s="1" t="s">
        <v>35</v>
      </c>
      <c r="E876" s="1" t="s">
        <v>41</v>
      </c>
      <c r="F876" s="1" t="s">
        <v>28</v>
      </c>
      <c r="G876" s="1" t="s">
        <v>36</v>
      </c>
      <c r="H876">
        <v>35.58</v>
      </c>
      <c r="I876">
        <v>16</v>
      </c>
      <c r="J876">
        <v>569.28</v>
      </c>
      <c r="K876" t="str">
        <f t="shared" si="13"/>
        <v>October</v>
      </c>
    </row>
    <row r="877" spans="1:11" x14ac:dyDescent="0.25">
      <c r="A877" s="1" t="s">
        <v>913</v>
      </c>
      <c r="B877" s="2">
        <v>45958</v>
      </c>
      <c r="C877" s="1" t="s">
        <v>38</v>
      </c>
      <c r="D877" s="1" t="s">
        <v>22</v>
      </c>
      <c r="E877" s="1" t="s">
        <v>13</v>
      </c>
      <c r="F877" s="1" t="s">
        <v>19</v>
      </c>
      <c r="G877" s="1" t="s">
        <v>36</v>
      </c>
      <c r="H877">
        <v>64.349999999999994</v>
      </c>
      <c r="I877">
        <v>1</v>
      </c>
      <c r="J877">
        <v>64.349999999999994</v>
      </c>
      <c r="K877" t="str">
        <f t="shared" si="13"/>
        <v>October</v>
      </c>
    </row>
    <row r="878" spans="1:11" x14ac:dyDescent="0.25">
      <c r="A878" s="1" t="s">
        <v>914</v>
      </c>
      <c r="B878" s="2">
        <v>45982</v>
      </c>
      <c r="C878" s="1" t="s">
        <v>17</v>
      </c>
      <c r="D878" s="1" t="s">
        <v>12</v>
      </c>
      <c r="E878" s="1" t="s">
        <v>23</v>
      </c>
      <c r="F878" s="1" t="s">
        <v>39</v>
      </c>
      <c r="G878" s="1" t="s">
        <v>36</v>
      </c>
      <c r="H878">
        <v>187.51</v>
      </c>
      <c r="I878">
        <v>8</v>
      </c>
      <c r="J878">
        <v>1500.08</v>
      </c>
      <c r="K878" t="str">
        <f t="shared" si="13"/>
        <v>November</v>
      </c>
    </row>
    <row r="879" spans="1:11" x14ac:dyDescent="0.25">
      <c r="A879" s="1" t="s">
        <v>915</v>
      </c>
      <c r="B879" s="2">
        <v>45869</v>
      </c>
      <c r="C879" s="1" t="s">
        <v>25</v>
      </c>
      <c r="D879" s="1" t="s">
        <v>55</v>
      </c>
      <c r="E879" s="1" t="s">
        <v>45</v>
      </c>
      <c r="F879" s="1" t="s">
        <v>28</v>
      </c>
      <c r="G879" s="1" t="s">
        <v>36</v>
      </c>
      <c r="H879">
        <v>174.96</v>
      </c>
      <c r="I879">
        <v>12</v>
      </c>
      <c r="J879">
        <v>2099.52</v>
      </c>
      <c r="K879" t="str">
        <f t="shared" si="13"/>
        <v>July</v>
      </c>
    </row>
    <row r="880" spans="1:11" x14ac:dyDescent="0.25">
      <c r="A880" s="1" t="s">
        <v>916</v>
      </c>
      <c r="B880" s="2">
        <v>45785</v>
      </c>
      <c r="C880" s="1" t="s">
        <v>11</v>
      </c>
      <c r="D880" s="1" t="s">
        <v>31</v>
      </c>
      <c r="E880" s="1" t="s">
        <v>27</v>
      </c>
      <c r="F880" s="1" t="s">
        <v>28</v>
      </c>
      <c r="G880" s="1" t="s">
        <v>36</v>
      </c>
      <c r="H880">
        <v>35.96</v>
      </c>
      <c r="I880">
        <v>10</v>
      </c>
      <c r="J880">
        <v>359.6</v>
      </c>
      <c r="K880" t="str">
        <f t="shared" si="13"/>
        <v>May</v>
      </c>
    </row>
    <row r="881" spans="1:11" x14ac:dyDescent="0.25">
      <c r="A881" s="1" t="s">
        <v>917</v>
      </c>
      <c r="B881" s="2">
        <v>45696</v>
      </c>
      <c r="C881" s="1" t="s">
        <v>30</v>
      </c>
      <c r="D881" s="1" t="s">
        <v>31</v>
      </c>
      <c r="E881" s="1" t="s">
        <v>13</v>
      </c>
      <c r="F881" s="1" t="s">
        <v>32</v>
      </c>
      <c r="G881" s="1" t="s">
        <v>15</v>
      </c>
      <c r="H881">
        <v>78.83</v>
      </c>
      <c r="I881">
        <v>18</v>
      </c>
      <c r="J881">
        <v>1418.94</v>
      </c>
      <c r="K881" t="str">
        <f t="shared" si="13"/>
        <v>February</v>
      </c>
    </row>
    <row r="882" spans="1:11" x14ac:dyDescent="0.25">
      <c r="A882" s="1" t="s">
        <v>918</v>
      </c>
      <c r="B882" s="2">
        <v>45951</v>
      </c>
      <c r="C882" s="1" t="s">
        <v>30</v>
      </c>
      <c r="D882" s="1" t="s">
        <v>12</v>
      </c>
      <c r="E882" s="1" t="s">
        <v>27</v>
      </c>
      <c r="F882" s="1" t="s">
        <v>14</v>
      </c>
      <c r="G882" s="1" t="s">
        <v>36</v>
      </c>
      <c r="H882">
        <v>80.84</v>
      </c>
      <c r="I882">
        <v>9</v>
      </c>
      <c r="J882">
        <v>727.56</v>
      </c>
      <c r="K882" t="str">
        <f t="shared" si="13"/>
        <v>October</v>
      </c>
    </row>
    <row r="883" spans="1:11" x14ac:dyDescent="0.25">
      <c r="A883" s="1" t="s">
        <v>919</v>
      </c>
      <c r="B883" s="2">
        <v>45760</v>
      </c>
      <c r="C883" s="1" t="s">
        <v>17</v>
      </c>
      <c r="D883" s="1" t="s">
        <v>26</v>
      </c>
      <c r="E883" s="1" t="s">
        <v>13</v>
      </c>
      <c r="F883" s="1" t="s">
        <v>14</v>
      </c>
      <c r="G883" s="1" t="s">
        <v>15</v>
      </c>
      <c r="H883">
        <v>177.82</v>
      </c>
      <c r="I883">
        <v>8</v>
      </c>
      <c r="J883">
        <v>1422.56</v>
      </c>
      <c r="K883" t="str">
        <f t="shared" si="13"/>
        <v>April</v>
      </c>
    </row>
    <row r="884" spans="1:11" x14ac:dyDescent="0.25">
      <c r="A884" s="1" t="s">
        <v>920</v>
      </c>
      <c r="B884" s="2">
        <v>45761</v>
      </c>
      <c r="C884" s="1" t="s">
        <v>25</v>
      </c>
      <c r="D884" s="1" t="s">
        <v>35</v>
      </c>
      <c r="E884" s="1" t="s">
        <v>23</v>
      </c>
      <c r="F884" s="1" t="s">
        <v>39</v>
      </c>
      <c r="G884" s="1" t="s">
        <v>15</v>
      </c>
      <c r="H884">
        <v>34.340000000000003</v>
      </c>
      <c r="I884">
        <v>8</v>
      </c>
      <c r="J884">
        <v>274.72000000000003</v>
      </c>
      <c r="K884" t="str">
        <f t="shared" si="13"/>
        <v>April</v>
      </c>
    </row>
    <row r="885" spans="1:11" x14ac:dyDescent="0.25">
      <c r="A885" s="1" t="s">
        <v>921</v>
      </c>
      <c r="B885" s="2">
        <v>45719</v>
      </c>
      <c r="C885" s="1" t="s">
        <v>17</v>
      </c>
      <c r="D885" s="1" t="s">
        <v>12</v>
      </c>
      <c r="E885" s="1" t="s">
        <v>41</v>
      </c>
      <c r="F885" s="1" t="s">
        <v>42</v>
      </c>
      <c r="G885" s="1" t="s">
        <v>15</v>
      </c>
      <c r="H885">
        <v>52.9</v>
      </c>
      <c r="I885">
        <v>3</v>
      </c>
      <c r="J885">
        <v>158.69999999999999</v>
      </c>
      <c r="K885" t="str">
        <f t="shared" si="13"/>
        <v>March</v>
      </c>
    </row>
    <row r="886" spans="1:11" x14ac:dyDescent="0.25">
      <c r="A886" s="1" t="s">
        <v>922</v>
      </c>
      <c r="B886" s="2">
        <v>45935</v>
      </c>
      <c r="C886" s="1" t="s">
        <v>38</v>
      </c>
      <c r="D886" s="1" t="s">
        <v>35</v>
      </c>
      <c r="E886" s="1" t="s">
        <v>18</v>
      </c>
      <c r="F886" s="1" t="s">
        <v>32</v>
      </c>
      <c r="G886" s="1" t="s">
        <v>36</v>
      </c>
      <c r="H886">
        <v>205.98</v>
      </c>
      <c r="I886">
        <v>2</v>
      </c>
      <c r="J886">
        <v>411.96</v>
      </c>
      <c r="K886" t="str">
        <f t="shared" si="13"/>
        <v>October</v>
      </c>
    </row>
    <row r="887" spans="1:11" x14ac:dyDescent="0.25">
      <c r="A887" s="1" t="s">
        <v>923</v>
      </c>
      <c r="B887" s="2">
        <v>45952</v>
      </c>
      <c r="C887" s="1" t="s">
        <v>38</v>
      </c>
      <c r="D887" s="1" t="s">
        <v>26</v>
      </c>
      <c r="E887" s="1" t="s">
        <v>18</v>
      </c>
      <c r="F887" s="1" t="s">
        <v>32</v>
      </c>
      <c r="G887" s="1" t="s">
        <v>36</v>
      </c>
      <c r="H887">
        <v>69.28</v>
      </c>
      <c r="I887">
        <v>9</v>
      </c>
      <c r="J887">
        <v>623.52</v>
      </c>
      <c r="K887" t="str">
        <f t="shared" si="13"/>
        <v>October</v>
      </c>
    </row>
    <row r="888" spans="1:11" x14ac:dyDescent="0.25">
      <c r="A888" s="1" t="s">
        <v>924</v>
      </c>
      <c r="B888" s="2">
        <v>45771</v>
      </c>
      <c r="C888" s="1" t="s">
        <v>30</v>
      </c>
      <c r="D888" s="1" t="s">
        <v>22</v>
      </c>
      <c r="E888" s="1" t="s">
        <v>18</v>
      </c>
      <c r="F888" s="1" t="s">
        <v>39</v>
      </c>
      <c r="G888" s="1" t="s">
        <v>36</v>
      </c>
      <c r="H888">
        <v>173.6</v>
      </c>
      <c r="I888">
        <v>19</v>
      </c>
      <c r="J888">
        <v>3298.4</v>
      </c>
      <c r="K888" t="str">
        <f t="shared" si="13"/>
        <v>April</v>
      </c>
    </row>
    <row r="889" spans="1:11" x14ac:dyDescent="0.25">
      <c r="A889" s="1" t="s">
        <v>925</v>
      </c>
      <c r="B889" s="2">
        <v>45902</v>
      </c>
      <c r="C889" s="1" t="s">
        <v>11</v>
      </c>
      <c r="D889" s="1" t="s">
        <v>55</v>
      </c>
      <c r="E889" s="1" t="s">
        <v>13</v>
      </c>
      <c r="F889" s="1" t="s">
        <v>61</v>
      </c>
      <c r="G889" s="1" t="s">
        <v>20</v>
      </c>
      <c r="H889">
        <v>82.4</v>
      </c>
      <c r="I889">
        <v>18</v>
      </c>
      <c r="J889">
        <v>1483.2</v>
      </c>
      <c r="K889" t="str">
        <f t="shared" si="13"/>
        <v>September</v>
      </c>
    </row>
    <row r="890" spans="1:11" x14ac:dyDescent="0.25">
      <c r="A890" s="1" t="s">
        <v>926</v>
      </c>
      <c r="B890" s="2">
        <v>45747</v>
      </c>
      <c r="C890" s="1" t="s">
        <v>11</v>
      </c>
      <c r="D890" s="1" t="s">
        <v>12</v>
      </c>
      <c r="E890" s="1" t="s">
        <v>18</v>
      </c>
      <c r="F890" s="1" t="s">
        <v>61</v>
      </c>
      <c r="G890" s="1" t="s">
        <v>36</v>
      </c>
      <c r="H890">
        <v>51.88</v>
      </c>
      <c r="I890">
        <v>15</v>
      </c>
      <c r="J890">
        <v>778.2</v>
      </c>
      <c r="K890" t="str">
        <f t="shared" si="13"/>
        <v>March</v>
      </c>
    </row>
    <row r="891" spans="1:11" x14ac:dyDescent="0.25">
      <c r="A891" s="1" t="s">
        <v>927</v>
      </c>
      <c r="B891" s="2">
        <v>46010</v>
      </c>
      <c r="C891" s="1" t="s">
        <v>11</v>
      </c>
      <c r="D891" s="1" t="s">
        <v>12</v>
      </c>
      <c r="E891" s="1" t="s">
        <v>23</v>
      </c>
      <c r="F891" s="1" t="s">
        <v>61</v>
      </c>
      <c r="G891" s="1" t="s">
        <v>20</v>
      </c>
      <c r="H891">
        <v>83.5</v>
      </c>
      <c r="I891">
        <v>1</v>
      </c>
      <c r="J891">
        <v>83.5</v>
      </c>
      <c r="K891" t="str">
        <f t="shared" si="13"/>
        <v>December</v>
      </c>
    </row>
    <row r="892" spans="1:11" x14ac:dyDescent="0.25">
      <c r="A892" s="1" t="s">
        <v>928</v>
      </c>
      <c r="B892" s="2">
        <v>45709</v>
      </c>
      <c r="C892" s="1" t="s">
        <v>34</v>
      </c>
      <c r="D892" s="1" t="s">
        <v>55</v>
      </c>
      <c r="E892" s="1" t="s">
        <v>13</v>
      </c>
      <c r="F892" s="1" t="s">
        <v>14</v>
      </c>
      <c r="G892" s="1" t="s">
        <v>20</v>
      </c>
      <c r="H892">
        <v>188.9</v>
      </c>
      <c r="I892">
        <v>11</v>
      </c>
      <c r="J892">
        <v>2077.9</v>
      </c>
      <c r="K892" t="str">
        <f t="shared" si="13"/>
        <v>February</v>
      </c>
    </row>
    <row r="893" spans="1:11" x14ac:dyDescent="0.25">
      <c r="A893" s="1" t="s">
        <v>929</v>
      </c>
      <c r="B893" s="2">
        <v>45792</v>
      </c>
      <c r="C893" s="1" t="s">
        <v>34</v>
      </c>
      <c r="D893" s="1" t="s">
        <v>31</v>
      </c>
      <c r="E893" s="1" t="s">
        <v>18</v>
      </c>
      <c r="F893" s="1" t="s">
        <v>32</v>
      </c>
      <c r="G893" s="1" t="s">
        <v>36</v>
      </c>
      <c r="H893">
        <v>218.25</v>
      </c>
      <c r="I893">
        <v>8</v>
      </c>
      <c r="J893">
        <v>1746</v>
      </c>
      <c r="K893" t="str">
        <f t="shared" si="13"/>
        <v>May</v>
      </c>
    </row>
    <row r="894" spans="1:11" x14ac:dyDescent="0.25">
      <c r="A894" s="1" t="s">
        <v>930</v>
      </c>
      <c r="B894" s="2">
        <v>45752</v>
      </c>
      <c r="C894" s="1" t="s">
        <v>38</v>
      </c>
      <c r="D894" s="1" t="s">
        <v>26</v>
      </c>
      <c r="E894" s="1" t="s">
        <v>41</v>
      </c>
      <c r="F894" s="1" t="s">
        <v>28</v>
      </c>
      <c r="G894" s="1" t="s">
        <v>36</v>
      </c>
      <c r="H894">
        <v>212.65</v>
      </c>
      <c r="I894">
        <v>16</v>
      </c>
      <c r="J894">
        <v>3402.4</v>
      </c>
      <c r="K894" t="str">
        <f t="shared" si="13"/>
        <v>April</v>
      </c>
    </row>
    <row r="895" spans="1:11" x14ac:dyDescent="0.25">
      <c r="A895" s="1" t="s">
        <v>931</v>
      </c>
      <c r="B895" s="2">
        <v>45844</v>
      </c>
      <c r="C895" s="1" t="s">
        <v>34</v>
      </c>
      <c r="D895" s="1" t="s">
        <v>31</v>
      </c>
      <c r="E895" s="1" t="s">
        <v>23</v>
      </c>
      <c r="F895" s="1" t="s">
        <v>42</v>
      </c>
      <c r="G895" s="1" t="s">
        <v>15</v>
      </c>
      <c r="H895">
        <v>117.38</v>
      </c>
      <c r="I895">
        <v>13</v>
      </c>
      <c r="J895">
        <v>1525.94</v>
      </c>
      <c r="K895" t="str">
        <f t="shared" si="13"/>
        <v>July</v>
      </c>
    </row>
    <row r="896" spans="1:11" x14ac:dyDescent="0.25">
      <c r="A896" s="1" t="s">
        <v>932</v>
      </c>
      <c r="B896" s="2">
        <v>45952</v>
      </c>
      <c r="C896" s="1" t="s">
        <v>11</v>
      </c>
      <c r="D896" s="1" t="s">
        <v>12</v>
      </c>
      <c r="E896" s="1" t="s">
        <v>13</v>
      </c>
      <c r="F896" s="1" t="s">
        <v>39</v>
      </c>
      <c r="G896" s="1" t="s">
        <v>15</v>
      </c>
      <c r="H896">
        <v>176.98</v>
      </c>
      <c r="I896">
        <v>8</v>
      </c>
      <c r="J896">
        <v>1415.84</v>
      </c>
      <c r="K896" t="str">
        <f t="shared" si="13"/>
        <v>October</v>
      </c>
    </row>
    <row r="897" spans="1:11" x14ac:dyDescent="0.25">
      <c r="A897" s="1" t="s">
        <v>933</v>
      </c>
      <c r="B897" s="2">
        <v>45942</v>
      </c>
      <c r="C897" s="1" t="s">
        <v>38</v>
      </c>
      <c r="D897" s="1" t="s">
        <v>26</v>
      </c>
      <c r="E897" s="1" t="s">
        <v>23</v>
      </c>
      <c r="F897" s="1" t="s">
        <v>39</v>
      </c>
      <c r="G897" s="1" t="s">
        <v>20</v>
      </c>
      <c r="H897">
        <v>75.099999999999994</v>
      </c>
      <c r="I897">
        <v>14</v>
      </c>
      <c r="J897">
        <v>1051.4000000000001</v>
      </c>
      <c r="K897" t="str">
        <f t="shared" si="13"/>
        <v>October</v>
      </c>
    </row>
    <row r="898" spans="1:11" x14ac:dyDescent="0.25">
      <c r="A898" s="1" t="s">
        <v>934</v>
      </c>
      <c r="B898" s="2">
        <v>45734</v>
      </c>
      <c r="C898" s="1" t="s">
        <v>11</v>
      </c>
      <c r="D898" s="1" t="s">
        <v>26</v>
      </c>
      <c r="E898" s="1" t="s">
        <v>41</v>
      </c>
      <c r="F898" s="1" t="s">
        <v>61</v>
      </c>
      <c r="G898" s="1" t="s">
        <v>15</v>
      </c>
      <c r="H898">
        <v>94.49</v>
      </c>
      <c r="I898">
        <v>16</v>
      </c>
      <c r="J898">
        <v>1511.84</v>
      </c>
      <c r="K898" t="str">
        <f t="shared" ref="K898:K961" si="14">TEXT(B:B,"MMMM")</f>
        <v>March</v>
      </c>
    </row>
    <row r="899" spans="1:11" x14ac:dyDescent="0.25">
      <c r="A899" s="1" t="s">
        <v>935</v>
      </c>
      <c r="B899" s="2">
        <v>45980</v>
      </c>
      <c r="C899" s="1" t="s">
        <v>25</v>
      </c>
      <c r="D899" s="1" t="s">
        <v>12</v>
      </c>
      <c r="E899" s="1" t="s">
        <v>13</v>
      </c>
      <c r="F899" s="1" t="s">
        <v>39</v>
      </c>
      <c r="G899" s="1" t="s">
        <v>36</v>
      </c>
      <c r="H899">
        <v>227.19</v>
      </c>
      <c r="I899">
        <v>17</v>
      </c>
      <c r="J899">
        <v>3862.23</v>
      </c>
      <c r="K899" t="str">
        <f t="shared" si="14"/>
        <v>November</v>
      </c>
    </row>
    <row r="900" spans="1:11" x14ac:dyDescent="0.25">
      <c r="A900" s="1" t="s">
        <v>936</v>
      </c>
      <c r="B900" s="2">
        <v>45811</v>
      </c>
      <c r="C900" s="1" t="s">
        <v>25</v>
      </c>
      <c r="D900" s="1" t="s">
        <v>55</v>
      </c>
      <c r="E900" s="1" t="s">
        <v>45</v>
      </c>
      <c r="F900" s="1" t="s">
        <v>61</v>
      </c>
      <c r="G900" s="1" t="s">
        <v>15</v>
      </c>
      <c r="H900">
        <v>32.86</v>
      </c>
      <c r="I900">
        <v>9</v>
      </c>
      <c r="J900">
        <v>295.74</v>
      </c>
      <c r="K900" t="str">
        <f t="shared" si="14"/>
        <v>June</v>
      </c>
    </row>
    <row r="901" spans="1:11" x14ac:dyDescent="0.25">
      <c r="A901" s="1" t="s">
        <v>937</v>
      </c>
      <c r="B901" s="2">
        <v>46011</v>
      </c>
      <c r="C901" s="1" t="s">
        <v>11</v>
      </c>
      <c r="D901" s="1" t="s">
        <v>26</v>
      </c>
      <c r="E901" s="1" t="s">
        <v>13</v>
      </c>
      <c r="F901" s="1" t="s">
        <v>61</v>
      </c>
      <c r="G901" s="1" t="s">
        <v>20</v>
      </c>
      <c r="H901">
        <v>48.81</v>
      </c>
      <c r="I901">
        <v>6</v>
      </c>
      <c r="J901">
        <v>292.86</v>
      </c>
      <c r="K901" t="str">
        <f t="shared" si="14"/>
        <v>December</v>
      </c>
    </row>
    <row r="902" spans="1:11" x14ac:dyDescent="0.25">
      <c r="A902" s="1" t="s">
        <v>938</v>
      </c>
      <c r="B902" s="2">
        <v>45707</v>
      </c>
      <c r="C902" s="1" t="s">
        <v>17</v>
      </c>
      <c r="D902" s="1" t="s">
        <v>35</v>
      </c>
      <c r="E902" s="1" t="s">
        <v>13</v>
      </c>
      <c r="F902" s="1" t="s">
        <v>32</v>
      </c>
      <c r="G902" s="1" t="s">
        <v>36</v>
      </c>
      <c r="H902">
        <v>75.73</v>
      </c>
      <c r="I902">
        <v>15</v>
      </c>
      <c r="J902">
        <v>1135.95</v>
      </c>
      <c r="K902" t="str">
        <f t="shared" si="14"/>
        <v>February</v>
      </c>
    </row>
    <row r="903" spans="1:11" x14ac:dyDescent="0.25">
      <c r="A903" s="1" t="s">
        <v>939</v>
      </c>
      <c r="B903" s="2">
        <v>45944</v>
      </c>
      <c r="C903" s="1" t="s">
        <v>34</v>
      </c>
      <c r="D903" s="1" t="s">
        <v>35</v>
      </c>
      <c r="E903" s="1" t="s">
        <v>45</v>
      </c>
      <c r="F903" s="1" t="s">
        <v>61</v>
      </c>
      <c r="G903" s="1" t="s">
        <v>15</v>
      </c>
      <c r="H903">
        <v>35.840000000000003</v>
      </c>
      <c r="I903">
        <v>18</v>
      </c>
      <c r="J903">
        <v>645.12</v>
      </c>
      <c r="K903" t="str">
        <f t="shared" si="14"/>
        <v>October</v>
      </c>
    </row>
    <row r="904" spans="1:11" x14ac:dyDescent="0.25">
      <c r="A904" s="1" t="s">
        <v>940</v>
      </c>
      <c r="B904" s="2">
        <v>45837</v>
      </c>
      <c r="C904" s="1" t="s">
        <v>30</v>
      </c>
      <c r="D904" s="1" t="s">
        <v>55</v>
      </c>
      <c r="E904" s="1" t="s">
        <v>18</v>
      </c>
      <c r="F904" s="1" t="s">
        <v>28</v>
      </c>
      <c r="G904" s="1" t="s">
        <v>20</v>
      </c>
      <c r="H904">
        <v>69.92</v>
      </c>
      <c r="I904">
        <v>20</v>
      </c>
      <c r="J904">
        <v>1398.4</v>
      </c>
      <c r="K904" t="str">
        <f t="shared" si="14"/>
        <v>June</v>
      </c>
    </row>
    <row r="905" spans="1:11" x14ac:dyDescent="0.25">
      <c r="A905" s="1" t="s">
        <v>941</v>
      </c>
      <c r="B905" s="2">
        <v>45933</v>
      </c>
      <c r="C905" s="1" t="s">
        <v>34</v>
      </c>
      <c r="D905" s="1" t="s">
        <v>35</v>
      </c>
      <c r="E905" s="1" t="s">
        <v>13</v>
      </c>
      <c r="F905" s="1" t="s">
        <v>28</v>
      </c>
      <c r="G905" s="1" t="s">
        <v>20</v>
      </c>
      <c r="H905">
        <v>158.27000000000001</v>
      </c>
      <c r="I905">
        <v>6</v>
      </c>
      <c r="J905">
        <v>949.62</v>
      </c>
      <c r="K905" t="str">
        <f t="shared" si="14"/>
        <v>October</v>
      </c>
    </row>
    <row r="906" spans="1:11" x14ac:dyDescent="0.25">
      <c r="A906" s="1" t="s">
        <v>942</v>
      </c>
      <c r="B906" s="2">
        <v>45907</v>
      </c>
      <c r="C906" s="1" t="s">
        <v>11</v>
      </c>
      <c r="D906" s="1" t="s">
        <v>31</v>
      </c>
      <c r="E906" s="1" t="s">
        <v>18</v>
      </c>
      <c r="F906" s="1" t="s">
        <v>32</v>
      </c>
      <c r="G906" s="1" t="s">
        <v>36</v>
      </c>
      <c r="H906">
        <v>122.71</v>
      </c>
      <c r="I906">
        <v>15</v>
      </c>
      <c r="J906">
        <v>1840.65</v>
      </c>
      <c r="K906" t="str">
        <f t="shared" si="14"/>
        <v>September</v>
      </c>
    </row>
    <row r="907" spans="1:11" x14ac:dyDescent="0.25">
      <c r="A907" s="1" t="s">
        <v>943</v>
      </c>
      <c r="B907" s="2">
        <v>45981</v>
      </c>
      <c r="C907" s="1" t="s">
        <v>30</v>
      </c>
      <c r="D907" s="1" t="s">
        <v>12</v>
      </c>
      <c r="E907" s="1" t="s">
        <v>13</v>
      </c>
      <c r="F907" s="1" t="s">
        <v>61</v>
      </c>
      <c r="G907" s="1" t="s">
        <v>20</v>
      </c>
      <c r="H907">
        <v>226.39</v>
      </c>
      <c r="I907">
        <v>5</v>
      </c>
      <c r="J907">
        <v>1131.95</v>
      </c>
      <c r="K907" t="str">
        <f t="shared" si="14"/>
        <v>November</v>
      </c>
    </row>
    <row r="908" spans="1:11" x14ac:dyDescent="0.25">
      <c r="A908" s="1" t="s">
        <v>944</v>
      </c>
      <c r="B908" s="2">
        <v>45971</v>
      </c>
      <c r="C908" s="1" t="s">
        <v>38</v>
      </c>
      <c r="D908" s="1" t="s">
        <v>22</v>
      </c>
      <c r="E908" s="1" t="s">
        <v>45</v>
      </c>
      <c r="F908" s="1" t="s">
        <v>14</v>
      </c>
      <c r="G908" s="1" t="s">
        <v>36</v>
      </c>
      <c r="H908">
        <v>209.84</v>
      </c>
      <c r="I908">
        <v>19</v>
      </c>
      <c r="J908">
        <v>3986.96</v>
      </c>
      <c r="K908" t="str">
        <f t="shared" si="14"/>
        <v>November</v>
      </c>
    </row>
    <row r="909" spans="1:11" x14ac:dyDescent="0.25">
      <c r="A909" s="1" t="s">
        <v>945</v>
      </c>
      <c r="B909" s="2">
        <v>45774</v>
      </c>
      <c r="C909" s="1" t="s">
        <v>34</v>
      </c>
      <c r="D909" s="1" t="s">
        <v>12</v>
      </c>
      <c r="E909" s="1" t="s">
        <v>13</v>
      </c>
      <c r="F909" s="1" t="s">
        <v>28</v>
      </c>
      <c r="G909" s="1" t="s">
        <v>36</v>
      </c>
      <c r="H909">
        <v>105.2</v>
      </c>
      <c r="I909">
        <v>11</v>
      </c>
      <c r="J909">
        <v>1157.2</v>
      </c>
      <c r="K909" t="str">
        <f t="shared" si="14"/>
        <v>April</v>
      </c>
    </row>
    <row r="910" spans="1:11" x14ac:dyDescent="0.25">
      <c r="A910" s="1" t="s">
        <v>946</v>
      </c>
      <c r="B910" s="2">
        <v>45967</v>
      </c>
      <c r="C910" s="1" t="s">
        <v>34</v>
      </c>
      <c r="D910" s="1" t="s">
        <v>31</v>
      </c>
      <c r="E910" s="1" t="s">
        <v>13</v>
      </c>
      <c r="F910" s="1" t="s">
        <v>28</v>
      </c>
      <c r="G910" s="1" t="s">
        <v>20</v>
      </c>
      <c r="H910">
        <v>87.07</v>
      </c>
      <c r="I910">
        <v>13</v>
      </c>
      <c r="J910">
        <v>1131.9100000000001</v>
      </c>
      <c r="K910" t="str">
        <f t="shared" si="14"/>
        <v>November</v>
      </c>
    </row>
    <row r="911" spans="1:11" x14ac:dyDescent="0.25">
      <c r="A911" s="1" t="s">
        <v>947</v>
      </c>
      <c r="B911" s="2">
        <v>45924</v>
      </c>
      <c r="C911" s="1" t="s">
        <v>38</v>
      </c>
      <c r="D911" s="1" t="s">
        <v>26</v>
      </c>
      <c r="E911" s="1" t="s">
        <v>23</v>
      </c>
      <c r="F911" s="1" t="s">
        <v>39</v>
      </c>
      <c r="G911" s="1" t="s">
        <v>15</v>
      </c>
      <c r="H911">
        <v>113.53</v>
      </c>
      <c r="I911">
        <v>15</v>
      </c>
      <c r="J911">
        <v>1702.95</v>
      </c>
      <c r="K911" t="str">
        <f t="shared" si="14"/>
        <v>September</v>
      </c>
    </row>
    <row r="912" spans="1:11" x14ac:dyDescent="0.25">
      <c r="A912" s="1" t="s">
        <v>948</v>
      </c>
      <c r="B912" s="2">
        <v>45722</v>
      </c>
      <c r="C912" s="1" t="s">
        <v>17</v>
      </c>
      <c r="D912" s="1" t="s">
        <v>35</v>
      </c>
      <c r="E912" s="1" t="s">
        <v>27</v>
      </c>
      <c r="F912" s="1" t="s">
        <v>28</v>
      </c>
      <c r="G912" s="1" t="s">
        <v>20</v>
      </c>
      <c r="H912">
        <v>159.86000000000001</v>
      </c>
      <c r="I912">
        <v>8</v>
      </c>
      <c r="J912">
        <v>1278.8800000000001</v>
      </c>
      <c r="K912" t="str">
        <f t="shared" si="14"/>
        <v>March</v>
      </c>
    </row>
    <row r="913" spans="1:11" x14ac:dyDescent="0.25">
      <c r="A913" s="1" t="s">
        <v>949</v>
      </c>
      <c r="B913" s="2">
        <v>45698</v>
      </c>
      <c r="C913" s="1" t="s">
        <v>30</v>
      </c>
      <c r="D913" s="1" t="s">
        <v>31</v>
      </c>
      <c r="E913" s="1" t="s">
        <v>45</v>
      </c>
      <c r="F913" s="1" t="s">
        <v>19</v>
      </c>
      <c r="G913" s="1" t="s">
        <v>15</v>
      </c>
      <c r="H913">
        <v>88.97</v>
      </c>
      <c r="I913">
        <v>7</v>
      </c>
      <c r="J913">
        <v>622.79</v>
      </c>
      <c r="K913" t="str">
        <f t="shared" si="14"/>
        <v>February</v>
      </c>
    </row>
    <row r="914" spans="1:11" x14ac:dyDescent="0.25">
      <c r="A914" s="1" t="s">
        <v>950</v>
      </c>
      <c r="B914" s="2">
        <v>45900</v>
      </c>
      <c r="C914" s="1" t="s">
        <v>11</v>
      </c>
      <c r="D914" s="1" t="s">
        <v>22</v>
      </c>
      <c r="E914" s="1" t="s">
        <v>41</v>
      </c>
      <c r="F914" s="1" t="s">
        <v>42</v>
      </c>
      <c r="G914" s="1" t="s">
        <v>15</v>
      </c>
      <c r="H914">
        <v>167.31</v>
      </c>
      <c r="I914">
        <v>18</v>
      </c>
      <c r="J914">
        <v>3011.58</v>
      </c>
      <c r="K914" t="str">
        <f t="shared" si="14"/>
        <v>August</v>
      </c>
    </row>
    <row r="915" spans="1:11" x14ac:dyDescent="0.25">
      <c r="A915" s="1" t="s">
        <v>951</v>
      </c>
      <c r="B915" s="2">
        <v>45711</v>
      </c>
      <c r="C915" s="1" t="s">
        <v>25</v>
      </c>
      <c r="D915" s="1" t="s">
        <v>26</v>
      </c>
      <c r="E915" s="1" t="s">
        <v>45</v>
      </c>
      <c r="F915" s="1" t="s">
        <v>28</v>
      </c>
      <c r="G915" s="1" t="s">
        <v>36</v>
      </c>
      <c r="H915">
        <v>120.07</v>
      </c>
      <c r="I915">
        <v>9</v>
      </c>
      <c r="J915">
        <v>1080.6300000000001</v>
      </c>
      <c r="K915" t="str">
        <f t="shared" si="14"/>
        <v>February</v>
      </c>
    </row>
    <row r="916" spans="1:11" x14ac:dyDescent="0.25">
      <c r="A916" s="1" t="s">
        <v>952</v>
      </c>
      <c r="B916" s="2">
        <v>45816</v>
      </c>
      <c r="C916" s="1" t="s">
        <v>30</v>
      </c>
      <c r="D916" s="1" t="s">
        <v>12</v>
      </c>
      <c r="E916" s="1" t="s">
        <v>13</v>
      </c>
      <c r="F916" s="1" t="s">
        <v>61</v>
      </c>
      <c r="G916" s="1" t="s">
        <v>20</v>
      </c>
      <c r="H916">
        <v>151.44999999999999</v>
      </c>
      <c r="I916">
        <v>8</v>
      </c>
      <c r="J916">
        <v>1211.5999999999999</v>
      </c>
      <c r="K916" t="str">
        <f t="shared" si="14"/>
        <v>June</v>
      </c>
    </row>
    <row r="917" spans="1:11" x14ac:dyDescent="0.25">
      <c r="A917" s="1" t="s">
        <v>953</v>
      </c>
      <c r="B917" s="2">
        <v>45722</v>
      </c>
      <c r="C917" s="1" t="s">
        <v>25</v>
      </c>
      <c r="D917" s="1" t="s">
        <v>26</v>
      </c>
      <c r="E917" s="1" t="s">
        <v>45</v>
      </c>
      <c r="F917" s="1" t="s">
        <v>19</v>
      </c>
      <c r="G917" s="1" t="s">
        <v>20</v>
      </c>
      <c r="H917">
        <v>125.95</v>
      </c>
      <c r="I917">
        <v>5</v>
      </c>
      <c r="J917">
        <v>629.75</v>
      </c>
      <c r="K917" t="str">
        <f t="shared" si="14"/>
        <v>March</v>
      </c>
    </row>
    <row r="918" spans="1:11" x14ac:dyDescent="0.25">
      <c r="A918" s="1" t="s">
        <v>954</v>
      </c>
      <c r="B918" s="2">
        <v>45840</v>
      </c>
      <c r="C918" s="1" t="s">
        <v>38</v>
      </c>
      <c r="D918" s="1" t="s">
        <v>31</v>
      </c>
      <c r="E918" s="1" t="s">
        <v>18</v>
      </c>
      <c r="F918" s="1" t="s">
        <v>32</v>
      </c>
      <c r="G918" s="1" t="s">
        <v>20</v>
      </c>
      <c r="H918">
        <v>94.78</v>
      </c>
      <c r="I918">
        <v>11</v>
      </c>
      <c r="J918">
        <v>1042.58</v>
      </c>
      <c r="K918" t="str">
        <f t="shared" si="14"/>
        <v>July</v>
      </c>
    </row>
    <row r="919" spans="1:11" x14ac:dyDescent="0.25">
      <c r="A919" s="1" t="s">
        <v>955</v>
      </c>
      <c r="B919" s="2">
        <v>45885</v>
      </c>
      <c r="C919" s="1" t="s">
        <v>17</v>
      </c>
      <c r="D919" s="1" t="s">
        <v>55</v>
      </c>
      <c r="E919" s="1" t="s">
        <v>23</v>
      </c>
      <c r="F919" s="1" t="s">
        <v>42</v>
      </c>
      <c r="G919" s="1" t="s">
        <v>20</v>
      </c>
      <c r="H919">
        <v>238.66</v>
      </c>
      <c r="I919">
        <v>5</v>
      </c>
      <c r="J919">
        <v>1193.3</v>
      </c>
      <c r="K919" t="str">
        <f t="shared" si="14"/>
        <v>August</v>
      </c>
    </row>
    <row r="920" spans="1:11" x14ac:dyDescent="0.25">
      <c r="A920" s="1" t="s">
        <v>956</v>
      </c>
      <c r="B920" s="2">
        <v>45891</v>
      </c>
      <c r="C920" s="1" t="s">
        <v>38</v>
      </c>
      <c r="D920" s="1" t="s">
        <v>55</v>
      </c>
      <c r="E920" s="1" t="s">
        <v>27</v>
      </c>
      <c r="F920" s="1" t="s">
        <v>28</v>
      </c>
      <c r="G920" s="1" t="s">
        <v>20</v>
      </c>
      <c r="H920">
        <v>197.99</v>
      </c>
      <c r="I920">
        <v>19</v>
      </c>
      <c r="J920">
        <v>3761.81</v>
      </c>
      <c r="K920" t="str">
        <f t="shared" si="14"/>
        <v>August</v>
      </c>
    </row>
    <row r="921" spans="1:11" x14ac:dyDescent="0.25">
      <c r="A921" s="1" t="s">
        <v>957</v>
      </c>
      <c r="B921" s="2">
        <v>45816</v>
      </c>
      <c r="C921" s="1" t="s">
        <v>38</v>
      </c>
      <c r="D921" s="1" t="s">
        <v>55</v>
      </c>
      <c r="E921" s="1" t="s">
        <v>23</v>
      </c>
      <c r="F921" s="1" t="s">
        <v>39</v>
      </c>
      <c r="G921" s="1" t="s">
        <v>15</v>
      </c>
      <c r="H921">
        <v>60.82</v>
      </c>
      <c r="I921">
        <v>12</v>
      </c>
      <c r="J921">
        <v>729.84</v>
      </c>
      <c r="K921" t="str">
        <f t="shared" si="14"/>
        <v>June</v>
      </c>
    </row>
    <row r="922" spans="1:11" x14ac:dyDescent="0.25">
      <c r="A922" s="1" t="s">
        <v>958</v>
      </c>
      <c r="B922" s="2">
        <v>45884</v>
      </c>
      <c r="C922" s="1" t="s">
        <v>34</v>
      </c>
      <c r="D922" s="1" t="s">
        <v>31</v>
      </c>
      <c r="E922" s="1" t="s">
        <v>13</v>
      </c>
      <c r="F922" s="1" t="s">
        <v>14</v>
      </c>
      <c r="G922" s="1" t="s">
        <v>36</v>
      </c>
      <c r="H922">
        <v>221.06</v>
      </c>
      <c r="I922">
        <v>10</v>
      </c>
      <c r="J922">
        <v>2210.6</v>
      </c>
      <c r="K922" t="str">
        <f t="shared" si="14"/>
        <v>August</v>
      </c>
    </row>
    <row r="923" spans="1:11" x14ac:dyDescent="0.25">
      <c r="A923" s="1" t="s">
        <v>959</v>
      </c>
      <c r="B923" s="2">
        <v>45663</v>
      </c>
      <c r="C923" s="1" t="s">
        <v>25</v>
      </c>
      <c r="D923" s="1" t="s">
        <v>26</v>
      </c>
      <c r="E923" s="1" t="s">
        <v>13</v>
      </c>
      <c r="F923" s="1" t="s">
        <v>32</v>
      </c>
      <c r="G923" s="1" t="s">
        <v>36</v>
      </c>
      <c r="H923">
        <v>137.22999999999999</v>
      </c>
      <c r="I923">
        <v>1</v>
      </c>
      <c r="J923">
        <v>137.22999999999999</v>
      </c>
      <c r="K923" t="str">
        <f t="shared" si="14"/>
        <v>January</v>
      </c>
    </row>
    <row r="924" spans="1:11" x14ac:dyDescent="0.25">
      <c r="A924" s="1" t="s">
        <v>960</v>
      </c>
      <c r="B924" s="2">
        <v>45931</v>
      </c>
      <c r="C924" s="1" t="s">
        <v>17</v>
      </c>
      <c r="D924" s="1" t="s">
        <v>31</v>
      </c>
      <c r="E924" s="1" t="s">
        <v>41</v>
      </c>
      <c r="F924" s="1" t="s">
        <v>32</v>
      </c>
      <c r="G924" s="1" t="s">
        <v>15</v>
      </c>
      <c r="H924">
        <v>226.8</v>
      </c>
      <c r="I924">
        <v>1</v>
      </c>
      <c r="J924">
        <v>226.8</v>
      </c>
      <c r="K924" t="str">
        <f t="shared" si="14"/>
        <v>October</v>
      </c>
    </row>
    <row r="925" spans="1:11" x14ac:dyDescent="0.25">
      <c r="A925" s="1" t="s">
        <v>961</v>
      </c>
      <c r="B925" s="2">
        <v>45878</v>
      </c>
      <c r="C925" s="1" t="s">
        <v>25</v>
      </c>
      <c r="D925" s="1" t="s">
        <v>26</v>
      </c>
      <c r="E925" s="1" t="s">
        <v>45</v>
      </c>
      <c r="F925" s="1" t="s">
        <v>42</v>
      </c>
      <c r="G925" s="1" t="s">
        <v>36</v>
      </c>
      <c r="H925">
        <v>205.97</v>
      </c>
      <c r="I925">
        <v>10</v>
      </c>
      <c r="J925">
        <v>2059.6999999999998</v>
      </c>
      <c r="K925" t="str">
        <f t="shared" si="14"/>
        <v>August</v>
      </c>
    </row>
    <row r="926" spans="1:11" x14ac:dyDescent="0.25">
      <c r="A926" s="1" t="s">
        <v>962</v>
      </c>
      <c r="B926" s="2">
        <v>45754</v>
      </c>
      <c r="C926" s="1" t="s">
        <v>25</v>
      </c>
      <c r="D926" s="1" t="s">
        <v>31</v>
      </c>
      <c r="E926" s="1" t="s">
        <v>41</v>
      </c>
      <c r="F926" s="1" t="s">
        <v>14</v>
      </c>
      <c r="G926" s="1" t="s">
        <v>15</v>
      </c>
      <c r="H926">
        <v>123.55</v>
      </c>
      <c r="I926">
        <v>14</v>
      </c>
      <c r="J926">
        <v>1729.7</v>
      </c>
      <c r="K926" t="str">
        <f t="shared" si="14"/>
        <v>April</v>
      </c>
    </row>
    <row r="927" spans="1:11" x14ac:dyDescent="0.25">
      <c r="A927" s="1" t="s">
        <v>963</v>
      </c>
      <c r="B927" s="2">
        <v>45988</v>
      </c>
      <c r="C927" s="1" t="s">
        <v>38</v>
      </c>
      <c r="D927" s="1" t="s">
        <v>26</v>
      </c>
      <c r="E927" s="1" t="s">
        <v>13</v>
      </c>
      <c r="F927" s="1" t="s">
        <v>19</v>
      </c>
      <c r="G927" s="1" t="s">
        <v>36</v>
      </c>
      <c r="H927">
        <v>34.94</v>
      </c>
      <c r="I927">
        <v>13</v>
      </c>
      <c r="J927">
        <v>454.22</v>
      </c>
      <c r="K927" t="str">
        <f t="shared" si="14"/>
        <v>November</v>
      </c>
    </row>
    <row r="928" spans="1:11" x14ac:dyDescent="0.25">
      <c r="A928" s="1" t="s">
        <v>964</v>
      </c>
      <c r="B928" s="2">
        <v>45978</v>
      </c>
      <c r="C928" s="1" t="s">
        <v>25</v>
      </c>
      <c r="D928" s="1" t="s">
        <v>55</v>
      </c>
      <c r="E928" s="1" t="s">
        <v>27</v>
      </c>
      <c r="F928" s="1" t="s">
        <v>28</v>
      </c>
      <c r="G928" s="1" t="s">
        <v>36</v>
      </c>
      <c r="H928">
        <v>89.11</v>
      </c>
      <c r="I928">
        <v>8</v>
      </c>
      <c r="J928">
        <v>712.88</v>
      </c>
      <c r="K928" t="str">
        <f t="shared" si="14"/>
        <v>November</v>
      </c>
    </row>
    <row r="929" spans="1:11" x14ac:dyDescent="0.25">
      <c r="A929" s="1" t="s">
        <v>965</v>
      </c>
      <c r="B929" s="2">
        <v>45803</v>
      </c>
      <c r="C929" s="1" t="s">
        <v>34</v>
      </c>
      <c r="D929" s="1" t="s">
        <v>31</v>
      </c>
      <c r="E929" s="1" t="s">
        <v>23</v>
      </c>
      <c r="F929" s="1" t="s">
        <v>39</v>
      </c>
      <c r="G929" s="1" t="s">
        <v>15</v>
      </c>
      <c r="H929">
        <v>149.16</v>
      </c>
      <c r="I929">
        <v>18</v>
      </c>
      <c r="J929">
        <v>2684.88</v>
      </c>
      <c r="K929" t="str">
        <f t="shared" si="14"/>
        <v>May</v>
      </c>
    </row>
    <row r="930" spans="1:11" x14ac:dyDescent="0.25">
      <c r="A930" s="1" t="s">
        <v>966</v>
      </c>
      <c r="B930" s="2">
        <v>45751</v>
      </c>
      <c r="C930" s="1" t="s">
        <v>34</v>
      </c>
      <c r="D930" s="1" t="s">
        <v>22</v>
      </c>
      <c r="E930" s="1" t="s">
        <v>27</v>
      </c>
      <c r="F930" s="1" t="s">
        <v>61</v>
      </c>
      <c r="G930" s="1" t="s">
        <v>20</v>
      </c>
      <c r="H930">
        <v>169.37</v>
      </c>
      <c r="I930">
        <v>5</v>
      </c>
      <c r="J930">
        <v>846.85</v>
      </c>
      <c r="K930" t="str">
        <f t="shared" si="14"/>
        <v>April</v>
      </c>
    </row>
    <row r="931" spans="1:11" x14ac:dyDescent="0.25">
      <c r="A931" s="1" t="s">
        <v>967</v>
      </c>
      <c r="B931" s="2">
        <v>45889</v>
      </c>
      <c r="C931" s="1" t="s">
        <v>17</v>
      </c>
      <c r="D931" s="1" t="s">
        <v>55</v>
      </c>
      <c r="E931" s="1" t="s">
        <v>41</v>
      </c>
      <c r="F931" s="1" t="s">
        <v>14</v>
      </c>
      <c r="G931" s="1" t="s">
        <v>36</v>
      </c>
      <c r="H931">
        <v>86.74</v>
      </c>
      <c r="I931">
        <v>9</v>
      </c>
      <c r="J931">
        <v>780.66</v>
      </c>
      <c r="K931" t="str">
        <f t="shared" si="14"/>
        <v>August</v>
      </c>
    </row>
    <row r="932" spans="1:11" x14ac:dyDescent="0.25">
      <c r="A932" s="1" t="s">
        <v>968</v>
      </c>
      <c r="B932" s="2">
        <v>45667</v>
      </c>
      <c r="C932" s="1" t="s">
        <v>11</v>
      </c>
      <c r="D932" s="1" t="s">
        <v>55</v>
      </c>
      <c r="E932" s="1" t="s">
        <v>45</v>
      </c>
      <c r="F932" s="1" t="s">
        <v>14</v>
      </c>
      <c r="G932" s="1" t="s">
        <v>15</v>
      </c>
      <c r="H932">
        <v>60.66</v>
      </c>
      <c r="I932">
        <v>5</v>
      </c>
      <c r="J932">
        <v>303.3</v>
      </c>
      <c r="K932" t="str">
        <f t="shared" si="14"/>
        <v>January</v>
      </c>
    </row>
    <row r="933" spans="1:11" x14ac:dyDescent="0.25">
      <c r="A933" s="1" t="s">
        <v>969</v>
      </c>
      <c r="B933" s="2">
        <v>45802</v>
      </c>
      <c r="C933" s="1" t="s">
        <v>30</v>
      </c>
      <c r="D933" s="1" t="s">
        <v>12</v>
      </c>
      <c r="E933" s="1" t="s">
        <v>41</v>
      </c>
      <c r="F933" s="1" t="s">
        <v>28</v>
      </c>
      <c r="G933" s="1" t="s">
        <v>15</v>
      </c>
      <c r="H933">
        <v>213.68</v>
      </c>
      <c r="I933">
        <v>9</v>
      </c>
      <c r="J933">
        <v>1923.12</v>
      </c>
      <c r="K933" t="str">
        <f t="shared" si="14"/>
        <v>May</v>
      </c>
    </row>
    <row r="934" spans="1:11" x14ac:dyDescent="0.25">
      <c r="A934" s="1" t="s">
        <v>970</v>
      </c>
      <c r="B934" s="2">
        <v>45777</v>
      </c>
      <c r="C934" s="1" t="s">
        <v>30</v>
      </c>
      <c r="D934" s="1" t="s">
        <v>22</v>
      </c>
      <c r="E934" s="1" t="s">
        <v>41</v>
      </c>
      <c r="F934" s="1" t="s">
        <v>14</v>
      </c>
      <c r="G934" s="1" t="s">
        <v>36</v>
      </c>
      <c r="H934">
        <v>246.57</v>
      </c>
      <c r="I934">
        <v>3</v>
      </c>
      <c r="J934">
        <v>739.71</v>
      </c>
      <c r="K934" t="str">
        <f t="shared" si="14"/>
        <v>April</v>
      </c>
    </row>
    <row r="935" spans="1:11" x14ac:dyDescent="0.25">
      <c r="A935" s="1" t="s">
        <v>971</v>
      </c>
      <c r="B935" s="2">
        <v>45873</v>
      </c>
      <c r="C935" s="1" t="s">
        <v>38</v>
      </c>
      <c r="D935" s="1" t="s">
        <v>35</v>
      </c>
      <c r="E935" s="1" t="s">
        <v>41</v>
      </c>
      <c r="F935" s="1" t="s">
        <v>28</v>
      </c>
      <c r="G935" s="1" t="s">
        <v>15</v>
      </c>
      <c r="H935">
        <v>145.65</v>
      </c>
      <c r="I935">
        <v>10</v>
      </c>
      <c r="J935">
        <v>1456.5</v>
      </c>
      <c r="K935" t="str">
        <f t="shared" si="14"/>
        <v>August</v>
      </c>
    </row>
    <row r="936" spans="1:11" x14ac:dyDescent="0.25">
      <c r="A936" s="1" t="s">
        <v>972</v>
      </c>
      <c r="B936" s="2">
        <v>45827</v>
      </c>
      <c r="C936" s="1" t="s">
        <v>30</v>
      </c>
      <c r="D936" s="1" t="s">
        <v>22</v>
      </c>
      <c r="E936" s="1" t="s">
        <v>13</v>
      </c>
      <c r="F936" s="1" t="s">
        <v>39</v>
      </c>
      <c r="G936" s="1" t="s">
        <v>36</v>
      </c>
      <c r="H936">
        <v>67.77</v>
      </c>
      <c r="I936">
        <v>3</v>
      </c>
      <c r="J936">
        <v>203.31</v>
      </c>
      <c r="K936" t="str">
        <f t="shared" si="14"/>
        <v>June</v>
      </c>
    </row>
    <row r="937" spans="1:11" x14ac:dyDescent="0.25">
      <c r="A937" s="1" t="s">
        <v>973</v>
      </c>
      <c r="B937" s="2">
        <v>45694</v>
      </c>
      <c r="C937" s="1" t="s">
        <v>38</v>
      </c>
      <c r="D937" s="1" t="s">
        <v>26</v>
      </c>
      <c r="E937" s="1" t="s">
        <v>23</v>
      </c>
      <c r="F937" s="1" t="s">
        <v>39</v>
      </c>
      <c r="G937" s="1" t="s">
        <v>36</v>
      </c>
      <c r="H937">
        <v>89.91</v>
      </c>
      <c r="I937">
        <v>18</v>
      </c>
      <c r="J937">
        <v>1618.38</v>
      </c>
      <c r="K937" t="str">
        <f t="shared" si="14"/>
        <v>February</v>
      </c>
    </row>
    <row r="938" spans="1:11" x14ac:dyDescent="0.25">
      <c r="A938" s="1" t="s">
        <v>974</v>
      </c>
      <c r="B938" s="2">
        <v>45853</v>
      </c>
      <c r="C938" s="1" t="s">
        <v>11</v>
      </c>
      <c r="D938" s="1" t="s">
        <v>12</v>
      </c>
      <c r="E938" s="1" t="s">
        <v>23</v>
      </c>
      <c r="F938" s="1" t="s">
        <v>61</v>
      </c>
      <c r="G938" s="1" t="s">
        <v>36</v>
      </c>
      <c r="H938">
        <v>34.049999999999997</v>
      </c>
      <c r="I938">
        <v>1</v>
      </c>
      <c r="J938">
        <v>34.049999999999997</v>
      </c>
      <c r="K938" t="str">
        <f t="shared" si="14"/>
        <v>July</v>
      </c>
    </row>
    <row r="939" spans="1:11" x14ac:dyDescent="0.25">
      <c r="A939" s="1" t="s">
        <v>975</v>
      </c>
      <c r="B939" s="2">
        <v>45784</v>
      </c>
      <c r="C939" s="1" t="s">
        <v>30</v>
      </c>
      <c r="D939" s="1" t="s">
        <v>31</v>
      </c>
      <c r="E939" s="1" t="s">
        <v>27</v>
      </c>
      <c r="F939" s="1" t="s">
        <v>39</v>
      </c>
      <c r="G939" s="1" t="s">
        <v>15</v>
      </c>
      <c r="H939">
        <v>231.15</v>
      </c>
      <c r="I939">
        <v>2</v>
      </c>
      <c r="J939">
        <v>462.3</v>
      </c>
      <c r="K939" t="str">
        <f t="shared" si="14"/>
        <v>May</v>
      </c>
    </row>
    <row r="940" spans="1:11" x14ac:dyDescent="0.25">
      <c r="A940" s="1" t="s">
        <v>976</v>
      </c>
      <c r="B940" s="2">
        <v>45924</v>
      </c>
      <c r="C940" s="1" t="s">
        <v>38</v>
      </c>
      <c r="D940" s="1" t="s">
        <v>31</v>
      </c>
      <c r="E940" s="1" t="s">
        <v>27</v>
      </c>
      <c r="F940" s="1" t="s">
        <v>32</v>
      </c>
      <c r="G940" s="1" t="s">
        <v>36</v>
      </c>
      <c r="H940">
        <v>55.91</v>
      </c>
      <c r="I940">
        <v>7</v>
      </c>
      <c r="J940">
        <v>391.37</v>
      </c>
      <c r="K940" t="str">
        <f t="shared" si="14"/>
        <v>September</v>
      </c>
    </row>
    <row r="941" spans="1:11" x14ac:dyDescent="0.25">
      <c r="A941" s="1" t="s">
        <v>977</v>
      </c>
      <c r="B941" s="2">
        <v>45739</v>
      </c>
      <c r="C941" s="1" t="s">
        <v>17</v>
      </c>
      <c r="D941" s="1" t="s">
        <v>55</v>
      </c>
      <c r="E941" s="1" t="s">
        <v>18</v>
      </c>
      <c r="F941" s="1" t="s">
        <v>19</v>
      </c>
      <c r="G941" s="1" t="s">
        <v>36</v>
      </c>
      <c r="H941">
        <v>156.83000000000001</v>
      </c>
      <c r="I941">
        <v>2</v>
      </c>
      <c r="J941">
        <v>313.66000000000003</v>
      </c>
      <c r="K941" t="str">
        <f t="shared" si="14"/>
        <v>March</v>
      </c>
    </row>
    <row r="942" spans="1:11" x14ac:dyDescent="0.25">
      <c r="A942" s="1" t="s">
        <v>978</v>
      </c>
      <c r="B942" s="2">
        <v>45904</v>
      </c>
      <c r="C942" s="1" t="s">
        <v>30</v>
      </c>
      <c r="D942" s="1" t="s">
        <v>35</v>
      </c>
      <c r="E942" s="1" t="s">
        <v>45</v>
      </c>
      <c r="F942" s="1" t="s">
        <v>39</v>
      </c>
      <c r="G942" s="1" t="s">
        <v>20</v>
      </c>
      <c r="H942">
        <v>90.29</v>
      </c>
      <c r="I942">
        <v>10</v>
      </c>
      <c r="J942">
        <v>902.9</v>
      </c>
      <c r="K942" t="str">
        <f t="shared" si="14"/>
        <v>September</v>
      </c>
    </row>
    <row r="943" spans="1:11" x14ac:dyDescent="0.25">
      <c r="A943" s="1" t="s">
        <v>979</v>
      </c>
      <c r="B943" s="2">
        <v>45769</v>
      </c>
      <c r="C943" s="1" t="s">
        <v>30</v>
      </c>
      <c r="D943" s="1" t="s">
        <v>12</v>
      </c>
      <c r="E943" s="1" t="s">
        <v>41</v>
      </c>
      <c r="F943" s="1" t="s">
        <v>32</v>
      </c>
      <c r="G943" s="1" t="s">
        <v>15</v>
      </c>
      <c r="H943">
        <v>151.91999999999999</v>
      </c>
      <c r="I943">
        <v>4</v>
      </c>
      <c r="J943">
        <v>607.67999999999995</v>
      </c>
      <c r="K943" t="str">
        <f t="shared" si="14"/>
        <v>April</v>
      </c>
    </row>
    <row r="944" spans="1:11" x14ac:dyDescent="0.25">
      <c r="A944" s="1" t="s">
        <v>980</v>
      </c>
      <c r="B944" s="2">
        <v>45743</v>
      </c>
      <c r="C944" s="1" t="s">
        <v>25</v>
      </c>
      <c r="D944" s="1" t="s">
        <v>22</v>
      </c>
      <c r="E944" s="1" t="s">
        <v>41</v>
      </c>
      <c r="F944" s="1" t="s">
        <v>39</v>
      </c>
      <c r="G944" s="1" t="s">
        <v>15</v>
      </c>
      <c r="H944">
        <v>173.31</v>
      </c>
      <c r="I944">
        <v>9</v>
      </c>
      <c r="J944">
        <v>1559.79</v>
      </c>
      <c r="K944" t="str">
        <f t="shared" si="14"/>
        <v>March</v>
      </c>
    </row>
    <row r="945" spans="1:11" x14ac:dyDescent="0.25">
      <c r="A945" s="1" t="s">
        <v>981</v>
      </c>
      <c r="B945" s="2">
        <v>45662</v>
      </c>
      <c r="C945" s="1" t="s">
        <v>25</v>
      </c>
      <c r="D945" s="1" t="s">
        <v>12</v>
      </c>
      <c r="E945" s="1" t="s">
        <v>41</v>
      </c>
      <c r="F945" s="1" t="s">
        <v>28</v>
      </c>
      <c r="G945" s="1" t="s">
        <v>20</v>
      </c>
      <c r="H945">
        <v>212.54</v>
      </c>
      <c r="I945">
        <v>2</v>
      </c>
      <c r="J945">
        <v>425.08</v>
      </c>
      <c r="K945" t="str">
        <f t="shared" si="14"/>
        <v>January</v>
      </c>
    </row>
    <row r="946" spans="1:11" x14ac:dyDescent="0.25">
      <c r="A946" s="1" t="s">
        <v>982</v>
      </c>
      <c r="B946" s="2">
        <v>45737</v>
      </c>
      <c r="C946" s="1" t="s">
        <v>11</v>
      </c>
      <c r="D946" s="1" t="s">
        <v>26</v>
      </c>
      <c r="E946" s="1" t="s">
        <v>23</v>
      </c>
      <c r="F946" s="1" t="s">
        <v>61</v>
      </c>
      <c r="G946" s="1" t="s">
        <v>15</v>
      </c>
      <c r="H946">
        <v>75.41</v>
      </c>
      <c r="I946">
        <v>12</v>
      </c>
      <c r="J946">
        <v>904.92</v>
      </c>
      <c r="K946" t="str">
        <f t="shared" si="14"/>
        <v>March</v>
      </c>
    </row>
    <row r="947" spans="1:11" x14ac:dyDescent="0.25">
      <c r="A947" s="1" t="s">
        <v>983</v>
      </c>
      <c r="B947" s="2">
        <v>46009</v>
      </c>
      <c r="C947" s="1" t="s">
        <v>34</v>
      </c>
      <c r="D947" s="1" t="s">
        <v>12</v>
      </c>
      <c r="E947" s="1" t="s">
        <v>45</v>
      </c>
      <c r="F947" s="1" t="s">
        <v>19</v>
      </c>
      <c r="G947" s="1" t="s">
        <v>36</v>
      </c>
      <c r="H947">
        <v>32.42</v>
      </c>
      <c r="I947">
        <v>20</v>
      </c>
      <c r="J947">
        <v>648.4</v>
      </c>
      <c r="K947" t="str">
        <f t="shared" si="14"/>
        <v>December</v>
      </c>
    </row>
    <row r="948" spans="1:11" x14ac:dyDescent="0.25">
      <c r="A948" s="1" t="s">
        <v>984</v>
      </c>
      <c r="B948" s="2">
        <v>45988</v>
      </c>
      <c r="C948" s="1" t="s">
        <v>17</v>
      </c>
      <c r="D948" s="1" t="s">
        <v>55</v>
      </c>
      <c r="E948" s="1" t="s">
        <v>45</v>
      </c>
      <c r="F948" s="1" t="s">
        <v>14</v>
      </c>
      <c r="G948" s="1" t="s">
        <v>36</v>
      </c>
      <c r="H948">
        <v>60.11</v>
      </c>
      <c r="I948">
        <v>5</v>
      </c>
      <c r="J948">
        <v>300.55</v>
      </c>
      <c r="K948" t="str">
        <f t="shared" si="14"/>
        <v>November</v>
      </c>
    </row>
    <row r="949" spans="1:11" x14ac:dyDescent="0.25">
      <c r="A949" s="1" t="s">
        <v>985</v>
      </c>
      <c r="B949" s="2">
        <v>45777</v>
      </c>
      <c r="C949" s="1" t="s">
        <v>25</v>
      </c>
      <c r="D949" s="1" t="s">
        <v>12</v>
      </c>
      <c r="E949" s="1" t="s">
        <v>13</v>
      </c>
      <c r="F949" s="1" t="s">
        <v>39</v>
      </c>
      <c r="G949" s="1" t="s">
        <v>36</v>
      </c>
      <c r="H949">
        <v>228</v>
      </c>
      <c r="I949">
        <v>11</v>
      </c>
      <c r="J949">
        <v>2508</v>
      </c>
      <c r="K949" t="str">
        <f t="shared" si="14"/>
        <v>April</v>
      </c>
    </row>
    <row r="950" spans="1:11" x14ac:dyDescent="0.25">
      <c r="A950" s="1" t="s">
        <v>986</v>
      </c>
      <c r="B950" s="2">
        <v>45756</v>
      </c>
      <c r="C950" s="1" t="s">
        <v>17</v>
      </c>
      <c r="D950" s="1" t="s">
        <v>31</v>
      </c>
      <c r="E950" s="1" t="s">
        <v>13</v>
      </c>
      <c r="F950" s="1" t="s">
        <v>28</v>
      </c>
      <c r="G950" s="1" t="s">
        <v>15</v>
      </c>
      <c r="H950">
        <v>222.26</v>
      </c>
      <c r="I950">
        <v>1</v>
      </c>
      <c r="J950">
        <v>222.26</v>
      </c>
      <c r="K950" t="str">
        <f t="shared" si="14"/>
        <v>April</v>
      </c>
    </row>
    <row r="951" spans="1:11" x14ac:dyDescent="0.25">
      <c r="A951" s="1" t="s">
        <v>987</v>
      </c>
      <c r="B951" s="2">
        <v>45786</v>
      </c>
      <c r="C951" s="1" t="s">
        <v>38</v>
      </c>
      <c r="D951" s="1" t="s">
        <v>12</v>
      </c>
      <c r="E951" s="1" t="s">
        <v>41</v>
      </c>
      <c r="F951" s="1" t="s">
        <v>42</v>
      </c>
      <c r="G951" s="1" t="s">
        <v>36</v>
      </c>
      <c r="H951">
        <v>161.43</v>
      </c>
      <c r="I951">
        <v>2</v>
      </c>
      <c r="J951">
        <v>322.86</v>
      </c>
      <c r="K951" t="str">
        <f t="shared" si="14"/>
        <v>May</v>
      </c>
    </row>
    <row r="952" spans="1:11" x14ac:dyDescent="0.25">
      <c r="A952" s="1" t="s">
        <v>988</v>
      </c>
      <c r="B952" s="2">
        <v>45935</v>
      </c>
      <c r="C952" s="1" t="s">
        <v>30</v>
      </c>
      <c r="D952" s="1" t="s">
        <v>55</v>
      </c>
      <c r="E952" s="1" t="s">
        <v>23</v>
      </c>
      <c r="F952" s="1" t="s">
        <v>42</v>
      </c>
      <c r="G952" s="1" t="s">
        <v>36</v>
      </c>
      <c r="H952">
        <v>162.11000000000001</v>
      </c>
      <c r="I952">
        <v>16</v>
      </c>
      <c r="J952">
        <v>2593.7600000000002</v>
      </c>
      <c r="K952" t="str">
        <f t="shared" si="14"/>
        <v>October</v>
      </c>
    </row>
    <row r="953" spans="1:11" x14ac:dyDescent="0.25">
      <c r="A953" s="1" t="s">
        <v>989</v>
      </c>
      <c r="B953" s="2">
        <v>45823</v>
      </c>
      <c r="C953" s="1" t="s">
        <v>34</v>
      </c>
      <c r="D953" s="1" t="s">
        <v>55</v>
      </c>
      <c r="E953" s="1" t="s">
        <v>18</v>
      </c>
      <c r="F953" s="1" t="s">
        <v>14</v>
      </c>
      <c r="G953" s="1" t="s">
        <v>15</v>
      </c>
      <c r="H953">
        <v>176.31</v>
      </c>
      <c r="I953">
        <v>15</v>
      </c>
      <c r="J953">
        <v>2644.65</v>
      </c>
      <c r="K953" t="str">
        <f t="shared" si="14"/>
        <v>June</v>
      </c>
    </row>
    <row r="954" spans="1:11" x14ac:dyDescent="0.25">
      <c r="A954" s="1" t="s">
        <v>990</v>
      </c>
      <c r="B954" s="2">
        <v>45929</v>
      </c>
      <c r="C954" s="1" t="s">
        <v>38</v>
      </c>
      <c r="D954" s="1" t="s">
        <v>35</v>
      </c>
      <c r="E954" s="1" t="s">
        <v>13</v>
      </c>
      <c r="F954" s="1" t="s">
        <v>42</v>
      </c>
      <c r="G954" s="1" t="s">
        <v>36</v>
      </c>
      <c r="H954">
        <v>68.58</v>
      </c>
      <c r="I954">
        <v>5</v>
      </c>
      <c r="J954">
        <v>342.9</v>
      </c>
      <c r="K954" t="str">
        <f t="shared" si="14"/>
        <v>September</v>
      </c>
    </row>
    <row r="955" spans="1:11" x14ac:dyDescent="0.25">
      <c r="A955" s="1" t="s">
        <v>991</v>
      </c>
      <c r="B955" s="2">
        <v>45890</v>
      </c>
      <c r="C955" s="1" t="s">
        <v>17</v>
      </c>
      <c r="D955" s="1" t="s">
        <v>55</v>
      </c>
      <c r="E955" s="1" t="s">
        <v>41</v>
      </c>
      <c r="F955" s="1" t="s">
        <v>28</v>
      </c>
      <c r="G955" s="1" t="s">
        <v>15</v>
      </c>
      <c r="H955">
        <v>231.17</v>
      </c>
      <c r="I955">
        <v>1</v>
      </c>
      <c r="J955">
        <v>231.17</v>
      </c>
      <c r="K955" t="str">
        <f t="shared" si="14"/>
        <v>August</v>
      </c>
    </row>
    <row r="956" spans="1:11" x14ac:dyDescent="0.25">
      <c r="A956" s="1" t="s">
        <v>992</v>
      </c>
      <c r="B956" s="2">
        <v>45667</v>
      </c>
      <c r="C956" s="1" t="s">
        <v>34</v>
      </c>
      <c r="D956" s="1" t="s">
        <v>55</v>
      </c>
      <c r="E956" s="1" t="s">
        <v>23</v>
      </c>
      <c r="F956" s="1" t="s">
        <v>32</v>
      </c>
      <c r="G956" s="1" t="s">
        <v>20</v>
      </c>
      <c r="H956">
        <v>122.13</v>
      </c>
      <c r="I956">
        <v>20</v>
      </c>
      <c r="J956">
        <v>2442.6</v>
      </c>
      <c r="K956" t="str">
        <f t="shared" si="14"/>
        <v>January</v>
      </c>
    </row>
    <row r="957" spans="1:11" x14ac:dyDescent="0.25">
      <c r="A957" s="1" t="s">
        <v>993</v>
      </c>
      <c r="B957" s="2">
        <v>45690</v>
      </c>
      <c r="C957" s="1" t="s">
        <v>38</v>
      </c>
      <c r="D957" s="1" t="s">
        <v>26</v>
      </c>
      <c r="E957" s="1" t="s">
        <v>18</v>
      </c>
      <c r="F957" s="1" t="s">
        <v>28</v>
      </c>
      <c r="G957" s="1" t="s">
        <v>36</v>
      </c>
      <c r="H957">
        <v>114.29</v>
      </c>
      <c r="I957">
        <v>18</v>
      </c>
      <c r="J957">
        <v>2057.2199999999998</v>
      </c>
      <c r="K957" t="str">
        <f t="shared" si="14"/>
        <v>February</v>
      </c>
    </row>
    <row r="958" spans="1:11" x14ac:dyDescent="0.25">
      <c r="A958" s="1" t="s">
        <v>994</v>
      </c>
      <c r="B958" s="2">
        <v>45940</v>
      </c>
      <c r="C958" s="1" t="s">
        <v>25</v>
      </c>
      <c r="D958" s="1" t="s">
        <v>35</v>
      </c>
      <c r="E958" s="1" t="s">
        <v>13</v>
      </c>
      <c r="F958" s="1" t="s">
        <v>61</v>
      </c>
      <c r="G958" s="1" t="s">
        <v>20</v>
      </c>
      <c r="H958">
        <v>144.16</v>
      </c>
      <c r="I958">
        <v>5</v>
      </c>
      <c r="J958">
        <v>720.8</v>
      </c>
      <c r="K958" t="str">
        <f t="shared" si="14"/>
        <v>October</v>
      </c>
    </row>
    <row r="959" spans="1:11" x14ac:dyDescent="0.25">
      <c r="A959" s="1" t="s">
        <v>995</v>
      </c>
      <c r="B959" s="2">
        <v>45822</v>
      </c>
      <c r="C959" s="1" t="s">
        <v>11</v>
      </c>
      <c r="D959" s="1" t="s">
        <v>55</v>
      </c>
      <c r="E959" s="1" t="s">
        <v>27</v>
      </c>
      <c r="F959" s="1" t="s">
        <v>19</v>
      </c>
      <c r="G959" s="1" t="s">
        <v>15</v>
      </c>
      <c r="H959">
        <v>40.33</v>
      </c>
      <c r="I959">
        <v>4</v>
      </c>
      <c r="J959">
        <v>161.32</v>
      </c>
      <c r="K959" t="str">
        <f t="shared" si="14"/>
        <v>June</v>
      </c>
    </row>
    <row r="960" spans="1:11" x14ac:dyDescent="0.25">
      <c r="A960" s="1" t="s">
        <v>996</v>
      </c>
      <c r="B960" s="2">
        <v>45724</v>
      </c>
      <c r="C960" s="1" t="s">
        <v>11</v>
      </c>
      <c r="D960" s="1" t="s">
        <v>26</v>
      </c>
      <c r="E960" s="1" t="s">
        <v>45</v>
      </c>
      <c r="F960" s="1" t="s">
        <v>61</v>
      </c>
      <c r="G960" s="1" t="s">
        <v>15</v>
      </c>
      <c r="H960">
        <v>66.58</v>
      </c>
      <c r="I960">
        <v>6</v>
      </c>
      <c r="J960">
        <v>399.48</v>
      </c>
      <c r="K960" t="str">
        <f t="shared" si="14"/>
        <v>March</v>
      </c>
    </row>
    <row r="961" spans="1:11" x14ac:dyDescent="0.25">
      <c r="A961" s="1" t="s">
        <v>997</v>
      </c>
      <c r="B961" s="2">
        <v>45708</v>
      </c>
      <c r="C961" s="1" t="s">
        <v>25</v>
      </c>
      <c r="D961" s="1" t="s">
        <v>12</v>
      </c>
      <c r="E961" s="1" t="s">
        <v>41</v>
      </c>
      <c r="F961" s="1" t="s">
        <v>28</v>
      </c>
      <c r="G961" s="1" t="s">
        <v>36</v>
      </c>
      <c r="H961">
        <v>192.37</v>
      </c>
      <c r="I961">
        <v>2</v>
      </c>
      <c r="J961">
        <v>384.74</v>
      </c>
      <c r="K961" t="str">
        <f t="shared" si="14"/>
        <v>February</v>
      </c>
    </row>
    <row r="962" spans="1:11" x14ac:dyDescent="0.25">
      <c r="A962" s="1" t="s">
        <v>998</v>
      </c>
      <c r="B962" s="2">
        <v>45927</v>
      </c>
      <c r="C962" s="1" t="s">
        <v>17</v>
      </c>
      <c r="D962" s="1" t="s">
        <v>55</v>
      </c>
      <c r="E962" s="1" t="s">
        <v>13</v>
      </c>
      <c r="F962" s="1" t="s">
        <v>19</v>
      </c>
      <c r="G962" s="1" t="s">
        <v>36</v>
      </c>
      <c r="H962">
        <v>48.22</v>
      </c>
      <c r="I962">
        <v>20</v>
      </c>
      <c r="J962">
        <v>964.4</v>
      </c>
      <c r="K962" t="str">
        <f t="shared" ref="K962:K1001" si="15">TEXT(B:B,"MMMM")</f>
        <v>September</v>
      </c>
    </row>
    <row r="963" spans="1:11" x14ac:dyDescent="0.25">
      <c r="A963" s="1" t="s">
        <v>999</v>
      </c>
      <c r="B963" s="2">
        <v>45771</v>
      </c>
      <c r="C963" s="1" t="s">
        <v>17</v>
      </c>
      <c r="D963" s="1" t="s">
        <v>22</v>
      </c>
      <c r="E963" s="1" t="s">
        <v>45</v>
      </c>
      <c r="F963" s="1" t="s">
        <v>14</v>
      </c>
      <c r="G963" s="1" t="s">
        <v>20</v>
      </c>
      <c r="H963">
        <v>162.69</v>
      </c>
      <c r="I963">
        <v>20</v>
      </c>
      <c r="J963">
        <v>3253.8</v>
      </c>
      <c r="K963" t="str">
        <f t="shared" si="15"/>
        <v>April</v>
      </c>
    </row>
    <row r="964" spans="1:11" x14ac:dyDescent="0.25">
      <c r="A964" s="1" t="s">
        <v>1000</v>
      </c>
      <c r="B964" s="2">
        <v>45909</v>
      </c>
      <c r="C964" s="1" t="s">
        <v>38</v>
      </c>
      <c r="D964" s="1" t="s">
        <v>12</v>
      </c>
      <c r="E964" s="1" t="s">
        <v>45</v>
      </c>
      <c r="F964" s="1" t="s">
        <v>32</v>
      </c>
      <c r="G964" s="1" t="s">
        <v>20</v>
      </c>
      <c r="H964">
        <v>83.98</v>
      </c>
      <c r="I964">
        <v>3</v>
      </c>
      <c r="J964">
        <v>251.94</v>
      </c>
      <c r="K964" t="str">
        <f t="shared" si="15"/>
        <v>September</v>
      </c>
    </row>
    <row r="965" spans="1:11" x14ac:dyDescent="0.25">
      <c r="A965" s="1" t="s">
        <v>1001</v>
      </c>
      <c r="B965" s="2">
        <v>45870</v>
      </c>
      <c r="C965" s="1" t="s">
        <v>17</v>
      </c>
      <c r="D965" s="1" t="s">
        <v>22</v>
      </c>
      <c r="E965" s="1" t="s">
        <v>18</v>
      </c>
      <c r="F965" s="1" t="s">
        <v>32</v>
      </c>
      <c r="G965" s="1" t="s">
        <v>20</v>
      </c>
      <c r="H965">
        <v>115.65</v>
      </c>
      <c r="I965">
        <v>12</v>
      </c>
      <c r="J965">
        <v>1387.8</v>
      </c>
      <c r="K965" t="str">
        <f t="shared" si="15"/>
        <v>August</v>
      </c>
    </row>
    <row r="966" spans="1:11" x14ac:dyDescent="0.25">
      <c r="A966" s="1" t="s">
        <v>1002</v>
      </c>
      <c r="B966" s="2">
        <v>45678</v>
      </c>
      <c r="C966" s="1" t="s">
        <v>34</v>
      </c>
      <c r="D966" s="1" t="s">
        <v>22</v>
      </c>
      <c r="E966" s="1" t="s">
        <v>23</v>
      </c>
      <c r="F966" s="1" t="s">
        <v>42</v>
      </c>
      <c r="G966" s="1" t="s">
        <v>15</v>
      </c>
      <c r="H966">
        <v>93.51</v>
      </c>
      <c r="I966">
        <v>3</v>
      </c>
      <c r="J966">
        <v>280.52999999999997</v>
      </c>
      <c r="K966" t="str">
        <f t="shared" si="15"/>
        <v>January</v>
      </c>
    </row>
    <row r="967" spans="1:11" x14ac:dyDescent="0.25">
      <c r="A967" s="1" t="s">
        <v>1003</v>
      </c>
      <c r="B967" s="2">
        <v>45709</v>
      </c>
      <c r="C967" s="1" t="s">
        <v>25</v>
      </c>
      <c r="D967" s="1" t="s">
        <v>31</v>
      </c>
      <c r="E967" s="1" t="s">
        <v>23</v>
      </c>
      <c r="F967" s="1" t="s">
        <v>14</v>
      </c>
      <c r="G967" s="1" t="s">
        <v>20</v>
      </c>
      <c r="H967">
        <v>108.25</v>
      </c>
      <c r="I967">
        <v>8</v>
      </c>
      <c r="J967">
        <v>866</v>
      </c>
      <c r="K967" t="str">
        <f t="shared" si="15"/>
        <v>February</v>
      </c>
    </row>
    <row r="968" spans="1:11" x14ac:dyDescent="0.25">
      <c r="A968" s="1" t="s">
        <v>1004</v>
      </c>
      <c r="B968" s="2">
        <v>45994</v>
      </c>
      <c r="C968" s="1" t="s">
        <v>25</v>
      </c>
      <c r="D968" s="1" t="s">
        <v>12</v>
      </c>
      <c r="E968" s="1" t="s">
        <v>23</v>
      </c>
      <c r="F968" s="1" t="s">
        <v>42</v>
      </c>
      <c r="G968" s="1" t="s">
        <v>20</v>
      </c>
      <c r="H968">
        <v>188.19</v>
      </c>
      <c r="I968">
        <v>8</v>
      </c>
      <c r="J968">
        <v>1505.52</v>
      </c>
      <c r="K968" t="str">
        <f t="shared" si="15"/>
        <v>December</v>
      </c>
    </row>
    <row r="969" spans="1:11" x14ac:dyDescent="0.25">
      <c r="A969" s="1" t="s">
        <v>1005</v>
      </c>
      <c r="B969" s="2">
        <v>45943</v>
      </c>
      <c r="C969" s="1" t="s">
        <v>17</v>
      </c>
      <c r="D969" s="1" t="s">
        <v>22</v>
      </c>
      <c r="E969" s="1" t="s">
        <v>27</v>
      </c>
      <c r="F969" s="1" t="s">
        <v>42</v>
      </c>
      <c r="G969" s="1" t="s">
        <v>36</v>
      </c>
      <c r="H969">
        <v>95.37</v>
      </c>
      <c r="I969">
        <v>14</v>
      </c>
      <c r="J969">
        <v>1335.18</v>
      </c>
      <c r="K969" t="str">
        <f t="shared" si="15"/>
        <v>October</v>
      </c>
    </row>
    <row r="970" spans="1:11" x14ac:dyDescent="0.25">
      <c r="A970" s="1" t="s">
        <v>1006</v>
      </c>
      <c r="B970" s="2">
        <v>46003</v>
      </c>
      <c r="C970" s="1" t="s">
        <v>17</v>
      </c>
      <c r="D970" s="1" t="s">
        <v>12</v>
      </c>
      <c r="E970" s="1" t="s">
        <v>41</v>
      </c>
      <c r="F970" s="1" t="s">
        <v>19</v>
      </c>
      <c r="G970" s="1" t="s">
        <v>15</v>
      </c>
      <c r="H970">
        <v>154.61000000000001</v>
      </c>
      <c r="I970">
        <v>15</v>
      </c>
      <c r="J970">
        <v>2319.15</v>
      </c>
      <c r="K970" t="str">
        <f t="shared" si="15"/>
        <v>December</v>
      </c>
    </row>
    <row r="971" spans="1:11" x14ac:dyDescent="0.25">
      <c r="A971" s="1" t="s">
        <v>1007</v>
      </c>
      <c r="B971" s="2">
        <v>45750</v>
      </c>
      <c r="C971" s="1" t="s">
        <v>38</v>
      </c>
      <c r="D971" s="1" t="s">
        <v>55</v>
      </c>
      <c r="E971" s="1" t="s">
        <v>13</v>
      </c>
      <c r="F971" s="1" t="s">
        <v>28</v>
      </c>
      <c r="G971" s="1" t="s">
        <v>15</v>
      </c>
      <c r="H971">
        <v>134.72999999999999</v>
      </c>
      <c r="I971">
        <v>18</v>
      </c>
      <c r="J971">
        <v>2425.14</v>
      </c>
      <c r="K971" t="str">
        <f t="shared" si="15"/>
        <v>April</v>
      </c>
    </row>
    <row r="972" spans="1:11" x14ac:dyDescent="0.25">
      <c r="A972" s="1" t="s">
        <v>1008</v>
      </c>
      <c r="B972" s="2">
        <v>45931</v>
      </c>
      <c r="C972" s="1" t="s">
        <v>38</v>
      </c>
      <c r="D972" s="1" t="s">
        <v>35</v>
      </c>
      <c r="E972" s="1" t="s">
        <v>13</v>
      </c>
      <c r="F972" s="1" t="s">
        <v>42</v>
      </c>
      <c r="G972" s="1" t="s">
        <v>36</v>
      </c>
      <c r="H972">
        <v>176.01</v>
      </c>
      <c r="I972">
        <v>20</v>
      </c>
      <c r="J972">
        <v>3520.2</v>
      </c>
      <c r="K972" t="str">
        <f t="shared" si="15"/>
        <v>October</v>
      </c>
    </row>
    <row r="973" spans="1:11" x14ac:dyDescent="0.25">
      <c r="A973" s="1" t="s">
        <v>1009</v>
      </c>
      <c r="B973" s="2">
        <v>45848</v>
      </c>
      <c r="C973" s="1" t="s">
        <v>17</v>
      </c>
      <c r="D973" s="1" t="s">
        <v>31</v>
      </c>
      <c r="E973" s="1" t="s">
        <v>27</v>
      </c>
      <c r="F973" s="1" t="s">
        <v>32</v>
      </c>
      <c r="G973" s="1" t="s">
        <v>20</v>
      </c>
      <c r="H973">
        <v>236.1</v>
      </c>
      <c r="I973">
        <v>14</v>
      </c>
      <c r="J973">
        <v>3305.4</v>
      </c>
      <c r="K973" t="str">
        <f t="shared" si="15"/>
        <v>July</v>
      </c>
    </row>
    <row r="974" spans="1:11" x14ac:dyDescent="0.25">
      <c r="A974" s="1" t="s">
        <v>1010</v>
      </c>
      <c r="B974" s="2">
        <v>45781</v>
      </c>
      <c r="C974" s="1" t="s">
        <v>25</v>
      </c>
      <c r="D974" s="1" t="s">
        <v>26</v>
      </c>
      <c r="E974" s="1" t="s">
        <v>41</v>
      </c>
      <c r="F974" s="1" t="s">
        <v>39</v>
      </c>
      <c r="G974" s="1" t="s">
        <v>20</v>
      </c>
      <c r="H974">
        <v>191.17</v>
      </c>
      <c r="I974">
        <v>19</v>
      </c>
      <c r="J974">
        <v>3632.23</v>
      </c>
      <c r="K974" t="str">
        <f t="shared" si="15"/>
        <v>May</v>
      </c>
    </row>
    <row r="975" spans="1:11" x14ac:dyDescent="0.25">
      <c r="A975" s="1" t="s">
        <v>1011</v>
      </c>
      <c r="B975" s="2">
        <v>45788</v>
      </c>
      <c r="C975" s="1" t="s">
        <v>38</v>
      </c>
      <c r="D975" s="1" t="s">
        <v>31</v>
      </c>
      <c r="E975" s="1" t="s">
        <v>41</v>
      </c>
      <c r="F975" s="1" t="s">
        <v>19</v>
      </c>
      <c r="G975" s="1" t="s">
        <v>20</v>
      </c>
      <c r="H975">
        <v>77.290000000000006</v>
      </c>
      <c r="I975">
        <v>12</v>
      </c>
      <c r="J975">
        <v>927.48</v>
      </c>
      <c r="K975" t="str">
        <f t="shared" si="15"/>
        <v>May</v>
      </c>
    </row>
    <row r="976" spans="1:11" x14ac:dyDescent="0.25">
      <c r="A976" s="1" t="s">
        <v>1012</v>
      </c>
      <c r="B976" s="2">
        <v>45675</v>
      </c>
      <c r="C976" s="1" t="s">
        <v>25</v>
      </c>
      <c r="D976" s="1" t="s">
        <v>22</v>
      </c>
      <c r="E976" s="1" t="s">
        <v>18</v>
      </c>
      <c r="F976" s="1" t="s">
        <v>14</v>
      </c>
      <c r="G976" s="1" t="s">
        <v>36</v>
      </c>
      <c r="H976">
        <v>36.86</v>
      </c>
      <c r="I976">
        <v>10</v>
      </c>
      <c r="J976">
        <v>368.6</v>
      </c>
      <c r="K976" t="str">
        <f t="shared" si="15"/>
        <v>January</v>
      </c>
    </row>
    <row r="977" spans="1:11" x14ac:dyDescent="0.25">
      <c r="A977" s="1" t="s">
        <v>1013</v>
      </c>
      <c r="B977" s="2">
        <v>45661</v>
      </c>
      <c r="C977" s="1" t="s">
        <v>30</v>
      </c>
      <c r="D977" s="1" t="s">
        <v>26</v>
      </c>
      <c r="E977" s="1" t="s">
        <v>13</v>
      </c>
      <c r="F977" s="1" t="s">
        <v>19</v>
      </c>
      <c r="G977" s="1" t="s">
        <v>20</v>
      </c>
      <c r="H977">
        <v>87.7</v>
      </c>
      <c r="I977">
        <v>10</v>
      </c>
      <c r="J977">
        <v>877</v>
      </c>
      <c r="K977" t="str">
        <f t="shared" si="15"/>
        <v>January</v>
      </c>
    </row>
    <row r="978" spans="1:11" x14ac:dyDescent="0.25">
      <c r="A978" s="1" t="s">
        <v>1014</v>
      </c>
      <c r="B978" s="2">
        <v>45799</v>
      </c>
      <c r="C978" s="1" t="s">
        <v>25</v>
      </c>
      <c r="D978" s="1" t="s">
        <v>55</v>
      </c>
      <c r="E978" s="1" t="s">
        <v>18</v>
      </c>
      <c r="F978" s="1" t="s">
        <v>42</v>
      </c>
      <c r="G978" s="1" t="s">
        <v>15</v>
      </c>
      <c r="H978">
        <v>160.91999999999999</v>
      </c>
      <c r="I978">
        <v>18</v>
      </c>
      <c r="J978">
        <v>2896.56</v>
      </c>
      <c r="K978" t="str">
        <f t="shared" si="15"/>
        <v>May</v>
      </c>
    </row>
    <row r="979" spans="1:11" x14ac:dyDescent="0.25">
      <c r="A979" s="1" t="s">
        <v>1015</v>
      </c>
      <c r="B979" s="2">
        <v>45706</v>
      </c>
      <c r="C979" s="1" t="s">
        <v>38</v>
      </c>
      <c r="D979" s="1" t="s">
        <v>35</v>
      </c>
      <c r="E979" s="1" t="s">
        <v>23</v>
      </c>
      <c r="F979" s="1" t="s">
        <v>14</v>
      </c>
      <c r="G979" s="1" t="s">
        <v>36</v>
      </c>
      <c r="H979">
        <v>41.31</v>
      </c>
      <c r="I979">
        <v>2</v>
      </c>
      <c r="J979">
        <v>82.62</v>
      </c>
      <c r="K979" t="str">
        <f t="shared" si="15"/>
        <v>February</v>
      </c>
    </row>
    <row r="980" spans="1:11" x14ac:dyDescent="0.25">
      <c r="A980" s="1" t="s">
        <v>1016</v>
      </c>
      <c r="B980" s="2">
        <v>45845</v>
      </c>
      <c r="C980" s="1" t="s">
        <v>30</v>
      </c>
      <c r="D980" s="1" t="s">
        <v>26</v>
      </c>
      <c r="E980" s="1" t="s">
        <v>13</v>
      </c>
      <c r="F980" s="1" t="s">
        <v>39</v>
      </c>
      <c r="G980" s="1" t="s">
        <v>36</v>
      </c>
      <c r="H980">
        <v>139.19999999999999</v>
      </c>
      <c r="I980">
        <v>19</v>
      </c>
      <c r="J980">
        <v>2644.8</v>
      </c>
      <c r="K980" t="str">
        <f t="shared" si="15"/>
        <v>July</v>
      </c>
    </row>
    <row r="981" spans="1:11" x14ac:dyDescent="0.25">
      <c r="A981" s="1" t="s">
        <v>1017</v>
      </c>
      <c r="B981" s="2">
        <v>45705</v>
      </c>
      <c r="C981" s="1" t="s">
        <v>38</v>
      </c>
      <c r="D981" s="1" t="s">
        <v>55</v>
      </c>
      <c r="E981" s="1" t="s">
        <v>23</v>
      </c>
      <c r="F981" s="1" t="s">
        <v>28</v>
      </c>
      <c r="G981" s="1" t="s">
        <v>15</v>
      </c>
      <c r="H981">
        <v>161.31</v>
      </c>
      <c r="I981">
        <v>19</v>
      </c>
      <c r="J981">
        <v>3064.89</v>
      </c>
      <c r="K981" t="str">
        <f t="shared" si="15"/>
        <v>February</v>
      </c>
    </row>
    <row r="982" spans="1:11" x14ac:dyDescent="0.25">
      <c r="A982" s="1" t="s">
        <v>1018</v>
      </c>
      <c r="B982" s="2">
        <v>45824</v>
      </c>
      <c r="C982" s="1" t="s">
        <v>30</v>
      </c>
      <c r="D982" s="1" t="s">
        <v>31</v>
      </c>
      <c r="E982" s="1" t="s">
        <v>27</v>
      </c>
      <c r="F982" s="1" t="s">
        <v>28</v>
      </c>
      <c r="G982" s="1" t="s">
        <v>20</v>
      </c>
      <c r="H982">
        <v>103.53</v>
      </c>
      <c r="I982">
        <v>16</v>
      </c>
      <c r="J982">
        <v>1656.48</v>
      </c>
      <c r="K982" t="str">
        <f t="shared" si="15"/>
        <v>June</v>
      </c>
    </row>
    <row r="983" spans="1:11" x14ac:dyDescent="0.25">
      <c r="A983" s="1" t="s">
        <v>1019</v>
      </c>
      <c r="B983" s="2">
        <v>45706</v>
      </c>
      <c r="C983" s="1" t="s">
        <v>17</v>
      </c>
      <c r="D983" s="1" t="s">
        <v>35</v>
      </c>
      <c r="E983" s="1" t="s">
        <v>45</v>
      </c>
      <c r="F983" s="1" t="s">
        <v>28</v>
      </c>
      <c r="G983" s="1" t="s">
        <v>20</v>
      </c>
      <c r="H983">
        <v>199.6</v>
      </c>
      <c r="I983">
        <v>20</v>
      </c>
      <c r="J983">
        <v>3992</v>
      </c>
      <c r="K983" t="str">
        <f t="shared" si="15"/>
        <v>February</v>
      </c>
    </row>
    <row r="984" spans="1:11" x14ac:dyDescent="0.25">
      <c r="A984" s="1" t="s">
        <v>1020</v>
      </c>
      <c r="B984" s="2">
        <v>45853</v>
      </c>
      <c r="C984" s="1" t="s">
        <v>11</v>
      </c>
      <c r="D984" s="1" t="s">
        <v>35</v>
      </c>
      <c r="E984" s="1" t="s">
        <v>13</v>
      </c>
      <c r="F984" s="1" t="s">
        <v>39</v>
      </c>
      <c r="G984" s="1" t="s">
        <v>36</v>
      </c>
      <c r="H984">
        <v>53.45</v>
      </c>
      <c r="I984">
        <v>3</v>
      </c>
      <c r="J984">
        <v>160.35</v>
      </c>
      <c r="K984" t="str">
        <f t="shared" si="15"/>
        <v>July</v>
      </c>
    </row>
    <row r="985" spans="1:11" x14ac:dyDescent="0.25">
      <c r="A985" s="1" t="s">
        <v>1021</v>
      </c>
      <c r="B985" s="2">
        <v>45871</v>
      </c>
      <c r="C985" s="1" t="s">
        <v>30</v>
      </c>
      <c r="D985" s="1" t="s">
        <v>12</v>
      </c>
      <c r="E985" s="1" t="s">
        <v>27</v>
      </c>
      <c r="F985" s="1" t="s">
        <v>39</v>
      </c>
      <c r="G985" s="1" t="s">
        <v>20</v>
      </c>
      <c r="H985">
        <v>46.53</v>
      </c>
      <c r="I985">
        <v>4</v>
      </c>
      <c r="J985">
        <v>186.12</v>
      </c>
      <c r="K985" t="str">
        <f t="shared" si="15"/>
        <v>August</v>
      </c>
    </row>
    <row r="986" spans="1:11" x14ac:dyDescent="0.25">
      <c r="A986" s="1" t="s">
        <v>1022</v>
      </c>
      <c r="B986" s="2">
        <v>45663</v>
      </c>
      <c r="C986" s="1" t="s">
        <v>11</v>
      </c>
      <c r="D986" s="1" t="s">
        <v>35</v>
      </c>
      <c r="E986" s="1" t="s">
        <v>18</v>
      </c>
      <c r="F986" s="1" t="s">
        <v>19</v>
      </c>
      <c r="G986" s="1" t="s">
        <v>36</v>
      </c>
      <c r="H986">
        <v>190.2</v>
      </c>
      <c r="I986">
        <v>13</v>
      </c>
      <c r="J986">
        <v>2472.6</v>
      </c>
      <c r="K986" t="str">
        <f t="shared" si="15"/>
        <v>January</v>
      </c>
    </row>
    <row r="987" spans="1:11" x14ac:dyDescent="0.25">
      <c r="A987" s="1" t="s">
        <v>1023</v>
      </c>
      <c r="B987" s="2">
        <v>45934</v>
      </c>
      <c r="C987" s="1" t="s">
        <v>30</v>
      </c>
      <c r="D987" s="1" t="s">
        <v>35</v>
      </c>
      <c r="E987" s="1" t="s">
        <v>18</v>
      </c>
      <c r="F987" s="1" t="s">
        <v>28</v>
      </c>
      <c r="G987" s="1" t="s">
        <v>15</v>
      </c>
      <c r="H987">
        <v>139.01</v>
      </c>
      <c r="I987">
        <v>19</v>
      </c>
      <c r="J987">
        <v>2641.19</v>
      </c>
      <c r="K987" t="str">
        <f t="shared" si="15"/>
        <v>October</v>
      </c>
    </row>
    <row r="988" spans="1:11" x14ac:dyDescent="0.25">
      <c r="A988" s="1" t="s">
        <v>1024</v>
      </c>
      <c r="B988" s="2">
        <v>45736</v>
      </c>
      <c r="C988" s="1" t="s">
        <v>17</v>
      </c>
      <c r="D988" s="1" t="s">
        <v>12</v>
      </c>
      <c r="E988" s="1" t="s">
        <v>41</v>
      </c>
      <c r="F988" s="1" t="s">
        <v>61</v>
      </c>
      <c r="G988" s="1" t="s">
        <v>20</v>
      </c>
      <c r="H988">
        <v>181.45</v>
      </c>
      <c r="I988">
        <v>2</v>
      </c>
      <c r="J988">
        <v>362.9</v>
      </c>
      <c r="K988" t="str">
        <f t="shared" si="15"/>
        <v>March</v>
      </c>
    </row>
    <row r="989" spans="1:11" x14ac:dyDescent="0.25">
      <c r="A989" s="1" t="s">
        <v>1025</v>
      </c>
      <c r="B989" s="2">
        <v>45952</v>
      </c>
      <c r="C989" s="1" t="s">
        <v>11</v>
      </c>
      <c r="D989" s="1" t="s">
        <v>26</v>
      </c>
      <c r="E989" s="1" t="s">
        <v>41</v>
      </c>
      <c r="F989" s="1" t="s">
        <v>32</v>
      </c>
      <c r="G989" s="1" t="s">
        <v>36</v>
      </c>
      <c r="H989">
        <v>125.66</v>
      </c>
      <c r="I989">
        <v>17</v>
      </c>
      <c r="J989">
        <v>2136.2199999999998</v>
      </c>
      <c r="K989" t="str">
        <f t="shared" si="15"/>
        <v>October</v>
      </c>
    </row>
    <row r="990" spans="1:11" x14ac:dyDescent="0.25">
      <c r="A990" s="1" t="s">
        <v>1026</v>
      </c>
      <c r="B990" s="2">
        <v>45733</v>
      </c>
      <c r="C990" s="1" t="s">
        <v>34</v>
      </c>
      <c r="D990" s="1" t="s">
        <v>22</v>
      </c>
      <c r="E990" s="1" t="s">
        <v>41</v>
      </c>
      <c r="F990" s="1" t="s">
        <v>42</v>
      </c>
      <c r="G990" s="1" t="s">
        <v>20</v>
      </c>
      <c r="H990">
        <v>84.21</v>
      </c>
      <c r="I990">
        <v>5</v>
      </c>
      <c r="J990">
        <v>421.05</v>
      </c>
      <c r="K990" t="str">
        <f t="shared" si="15"/>
        <v>March</v>
      </c>
    </row>
    <row r="991" spans="1:11" x14ac:dyDescent="0.25">
      <c r="A991" s="1" t="s">
        <v>1027</v>
      </c>
      <c r="B991" s="2">
        <v>45683</v>
      </c>
      <c r="C991" s="1" t="s">
        <v>38</v>
      </c>
      <c r="D991" s="1" t="s">
        <v>35</v>
      </c>
      <c r="E991" s="1" t="s">
        <v>45</v>
      </c>
      <c r="F991" s="1" t="s">
        <v>61</v>
      </c>
      <c r="G991" s="1" t="s">
        <v>20</v>
      </c>
      <c r="H991">
        <v>210.2</v>
      </c>
      <c r="I991">
        <v>18</v>
      </c>
      <c r="J991">
        <v>3783.6</v>
      </c>
      <c r="K991" t="str">
        <f t="shared" si="15"/>
        <v>January</v>
      </c>
    </row>
    <row r="992" spans="1:11" x14ac:dyDescent="0.25">
      <c r="A992" s="1" t="s">
        <v>1028</v>
      </c>
      <c r="B992" s="2">
        <v>45880</v>
      </c>
      <c r="C992" s="1" t="s">
        <v>30</v>
      </c>
      <c r="D992" s="1" t="s">
        <v>31</v>
      </c>
      <c r="E992" s="1" t="s">
        <v>18</v>
      </c>
      <c r="F992" s="1" t="s">
        <v>14</v>
      </c>
      <c r="G992" s="1" t="s">
        <v>36</v>
      </c>
      <c r="H992">
        <v>205.87</v>
      </c>
      <c r="I992">
        <v>5</v>
      </c>
      <c r="J992">
        <v>1029.3499999999999</v>
      </c>
      <c r="K992" t="str">
        <f t="shared" si="15"/>
        <v>August</v>
      </c>
    </row>
    <row r="993" spans="1:11" x14ac:dyDescent="0.25">
      <c r="A993" s="1" t="s">
        <v>1029</v>
      </c>
      <c r="B993" s="2">
        <v>45860</v>
      </c>
      <c r="C993" s="1" t="s">
        <v>30</v>
      </c>
      <c r="D993" s="1" t="s">
        <v>55</v>
      </c>
      <c r="E993" s="1" t="s">
        <v>18</v>
      </c>
      <c r="F993" s="1" t="s">
        <v>28</v>
      </c>
      <c r="G993" s="1" t="s">
        <v>20</v>
      </c>
      <c r="H993">
        <v>182.83</v>
      </c>
      <c r="I993">
        <v>19</v>
      </c>
      <c r="J993">
        <v>3473.77</v>
      </c>
      <c r="K993" t="str">
        <f t="shared" si="15"/>
        <v>July</v>
      </c>
    </row>
    <row r="994" spans="1:11" x14ac:dyDescent="0.25">
      <c r="A994" s="1" t="s">
        <v>1030</v>
      </c>
      <c r="B994" s="2">
        <v>45784</v>
      </c>
      <c r="C994" s="1" t="s">
        <v>11</v>
      </c>
      <c r="D994" s="1" t="s">
        <v>35</v>
      </c>
      <c r="E994" s="1" t="s">
        <v>41</v>
      </c>
      <c r="F994" s="1" t="s">
        <v>32</v>
      </c>
      <c r="G994" s="1" t="s">
        <v>20</v>
      </c>
      <c r="H994">
        <v>89.87</v>
      </c>
      <c r="I994">
        <v>8</v>
      </c>
      <c r="J994">
        <v>718.96</v>
      </c>
      <c r="K994" t="str">
        <f t="shared" si="15"/>
        <v>May</v>
      </c>
    </row>
    <row r="995" spans="1:11" x14ac:dyDescent="0.25">
      <c r="A995" s="1" t="s">
        <v>1031</v>
      </c>
      <c r="B995" s="2">
        <v>45952</v>
      </c>
      <c r="C995" s="1" t="s">
        <v>11</v>
      </c>
      <c r="D995" s="1" t="s">
        <v>12</v>
      </c>
      <c r="E995" s="1" t="s">
        <v>41</v>
      </c>
      <c r="F995" s="1" t="s">
        <v>61</v>
      </c>
      <c r="G995" s="1" t="s">
        <v>36</v>
      </c>
      <c r="H995">
        <v>159.85</v>
      </c>
      <c r="I995">
        <v>3</v>
      </c>
      <c r="J995">
        <v>479.55</v>
      </c>
      <c r="K995" t="str">
        <f t="shared" si="15"/>
        <v>October</v>
      </c>
    </row>
    <row r="996" spans="1:11" x14ac:dyDescent="0.25">
      <c r="A996" s="1" t="s">
        <v>1032</v>
      </c>
      <c r="B996" s="2">
        <v>45836</v>
      </c>
      <c r="C996" s="1" t="s">
        <v>34</v>
      </c>
      <c r="D996" s="1" t="s">
        <v>35</v>
      </c>
      <c r="E996" s="1" t="s">
        <v>18</v>
      </c>
      <c r="F996" s="1" t="s">
        <v>28</v>
      </c>
      <c r="G996" s="1" t="s">
        <v>15</v>
      </c>
      <c r="H996">
        <v>109.41</v>
      </c>
      <c r="I996">
        <v>7</v>
      </c>
      <c r="J996">
        <v>765.87</v>
      </c>
      <c r="K996" t="str">
        <f t="shared" si="15"/>
        <v>June</v>
      </c>
    </row>
    <row r="997" spans="1:11" x14ac:dyDescent="0.25">
      <c r="A997" s="1" t="s">
        <v>1033</v>
      </c>
      <c r="B997" s="2">
        <v>45814</v>
      </c>
      <c r="C997" s="1" t="s">
        <v>34</v>
      </c>
      <c r="D997" s="1" t="s">
        <v>55</v>
      </c>
      <c r="E997" s="1" t="s">
        <v>41</v>
      </c>
      <c r="F997" s="1" t="s">
        <v>42</v>
      </c>
      <c r="G997" s="1" t="s">
        <v>15</v>
      </c>
      <c r="H997">
        <v>50.15</v>
      </c>
      <c r="I997">
        <v>6</v>
      </c>
      <c r="J997">
        <v>300.89999999999998</v>
      </c>
      <c r="K997" t="str">
        <f t="shared" si="15"/>
        <v>June</v>
      </c>
    </row>
    <row r="998" spans="1:11" x14ac:dyDescent="0.25">
      <c r="A998" s="1" t="s">
        <v>1034</v>
      </c>
      <c r="B998" s="2">
        <v>45883</v>
      </c>
      <c r="C998" s="1" t="s">
        <v>30</v>
      </c>
      <c r="D998" s="1" t="s">
        <v>26</v>
      </c>
      <c r="E998" s="1" t="s">
        <v>27</v>
      </c>
      <c r="F998" s="1" t="s">
        <v>32</v>
      </c>
      <c r="G998" s="1" t="s">
        <v>15</v>
      </c>
      <c r="H998">
        <v>231.81</v>
      </c>
      <c r="I998">
        <v>2</v>
      </c>
      <c r="J998">
        <v>463.62</v>
      </c>
      <c r="K998" t="str">
        <f t="shared" si="15"/>
        <v>August</v>
      </c>
    </row>
    <row r="999" spans="1:11" x14ac:dyDescent="0.25">
      <c r="A999" s="1" t="s">
        <v>1035</v>
      </c>
      <c r="B999" s="2">
        <v>45701</v>
      </c>
      <c r="C999" s="1" t="s">
        <v>17</v>
      </c>
      <c r="D999" s="1" t="s">
        <v>22</v>
      </c>
      <c r="E999" s="1" t="s">
        <v>23</v>
      </c>
      <c r="F999" s="1" t="s">
        <v>42</v>
      </c>
      <c r="G999" s="1" t="s">
        <v>15</v>
      </c>
      <c r="H999">
        <v>60.1</v>
      </c>
      <c r="I999">
        <v>4</v>
      </c>
      <c r="J999">
        <v>240.4</v>
      </c>
      <c r="K999" t="str">
        <f t="shared" si="15"/>
        <v>February</v>
      </c>
    </row>
    <row r="1000" spans="1:11" x14ac:dyDescent="0.25">
      <c r="A1000" s="1" t="s">
        <v>1036</v>
      </c>
      <c r="B1000" s="2">
        <v>45805</v>
      </c>
      <c r="C1000" s="1" t="s">
        <v>34</v>
      </c>
      <c r="D1000" s="1" t="s">
        <v>12</v>
      </c>
      <c r="E1000" s="1" t="s">
        <v>45</v>
      </c>
      <c r="F1000" s="1" t="s">
        <v>32</v>
      </c>
      <c r="G1000" s="1" t="s">
        <v>36</v>
      </c>
      <c r="H1000">
        <v>239.05</v>
      </c>
      <c r="I1000">
        <v>1</v>
      </c>
      <c r="J1000">
        <v>239.05</v>
      </c>
      <c r="K1000" t="str">
        <f t="shared" si="15"/>
        <v>May</v>
      </c>
    </row>
    <row r="1001" spans="1:11" x14ac:dyDescent="0.25">
      <c r="A1001" s="1" t="s">
        <v>1037</v>
      </c>
      <c r="B1001" s="2">
        <v>45899</v>
      </c>
      <c r="C1001" s="1" t="s">
        <v>34</v>
      </c>
      <c r="D1001" s="1" t="s">
        <v>26</v>
      </c>
      <c r="E1001" s="1" t="s">
        <v>27</v>
      </c>
      <c r="F1001" s="1" t="s">
        <v>42</v>
      </c>
      <c r="G1001" s="1" t="s">
        <v>15</v>
      </c>
      <c r="H1001">
        <v>128.12</v>
      </c>
      <c r="I1001">
        <v>1</v>
      </c>
      <c r="J1001">
        <v>128.12</v>
      </c>
      <c r="K1001" t="str">
        <f t="shared" si="15"/>
        <v>August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5B70E-A1AB-423B-8865-4DC91C88A0ED}">
  <dimension ref="A1:R14"/>
  <sheetViews>
    <sheetView workbookViewId="0">
      <selection activeCell="J8" sqref="J8"/>
    </sheetView>
  </sheetViews>
  <sheetFormatPr defaultRowHeight="15" x14ac:dyDescent="0.25"/>
  <cols>
    <col min="1" max="1" width="19.42578125" bestFit="1" customWidth="1"/>
    <col min="3" max="3" width="18" bestFit="1" customWidth="1"/>
    <col min="6" max="6" width="14.42578125" bestFit="1" customWidth="1"/>
    <col min="8" max="8" width="9.7109375" bestFit="1" customWidth="1"/>
    <col min="9" max="9" width="10.5703125" bestFit="1" customWidth="1"/>
    <col min="10" max="10" width="13.7109375" bestFit="1" customWidth="1"/>
    <col min="16" max="16" width="13.5703125" bestFit="1" customWidth="1"/>
  </cols>
  <sheetData>
    <row r="1" spans="1:18" ht="18.75" x14ac:dyDescent="0.3">
      <c r="A1" s="10" t="s">
        <v>1051</v>
      </c>
      <c r="B1" s="9"/>
      <c r="C1" s="10" t="s">
        <v>1063</v>
      </c>
      <c r="D1" s="9"/>
      <c r="E1" s="10" t="s">
        <v>1052</v>
      </c>
      <c r="F1" s="10" t="s">
        <v>1051</v>
      </c>
      <c r="G1" s="9"/>
      <c r="H1" s="17" t="s">
        <v>0</v>
      </c>
      <c r="I1" s="18" t="s">
        <v>1</v>
      </c>
      <c r="J1" s="18" t="s">
        <v>2</v>
      </c>
      <c r="K1" s="18" t="s">
        <v>3</v>
      </c>
      <c r="L1" s="18" t="s">
        <v>4</v>
      </c>
      <c r="M1" s="18" t="s">
        <v>5</v>
      </c>
      <c r="N1" s="18" t="s">
        <v>6</v>
      </c>
      <c r="O1" s="18" t="s">
        <v>7</v>
      </c>
      <c r="P1" s="18" t="s">
        <v>8</v>
      </c>
      <c r="Q1" s="18" t="s">
        <v>9</v>
      </c>
      <c r="R1" s="19" t="s">
        <v>1052</v>
      </c>
    </row>
    <row r="2" spans="1:18" ht="18.75" x14ac:dyDescent="0.3">
      <c r="A2" s="11">
        <f>COUNTA(shoes_sales_dataset[Sale_ID])</f>
        <v>1000</v>
      </c>
      <c r="B2" s="9"/>
      <c r="C2" s="11">
        <f>SUM(shoes_sales_dataset!I:I)</f>
        <v>10584</v>
      </c>
      <c r="D2" s="9"/>
      <c r="E2" s="9" t="s">
        <v>1043</v>
      </c>
      <c r="F2" s="9">
        <f>COUNTIF(shoes_sales_dataset!K:K,ANALYSIS!E2)</f>
        <v>91</v>
      </c>
      <c r="G2" s="9"/>
      <c r="H2" s="20" t="s">
        <v>21</v>
      </c>
      <c r="I2" s="9" cm="1">
        <f t="array" ref="I2:R2">_xlfn.XLOOKUP(H2,shoes_sales_dataset!A:A,shoes_sales_dataset!B:K)</f>
        <v>45874</v>
      </c>
      <c r="J2" s="9" t="str">
        <v>Nike</v>
      </c>
      <c r="K2" s="9" t="str">
        <v>Running</v>
      </c>
      <c r="L2" s="9" t="str">
        <v>White</v>
      </c>
      <c r="M2" s="9" t="str">
        <v>UK</v>
      </c>
      <c r="N2" s="9" t="str">
        <v>Mall</v>
      </c>
      <c r="O2" s="9">
        <v>191.04</v>
      </c>
      <c r="P2" s="9">
        <v>2</v>
      </c>
      <c r="Q2" s="9">
        <v>382.08</v>
      </c>
      <c r="R2" s="9" t="str">
        <v>August</v>
      </c>
    </row>
    <row r="3" spans="1:18" ht="18.75" x14ac:dyDescent="0.3">
      <c r="A3" s="9"/>
      <c r="B3" s="9"/>
      <c r="C3" s="9"/>
      <c r="D3" s="9"/>
      <c r="E3" s="9"/>
      <c r="F3" s="9"/>
      <c r="G3" s="9"/>
      <c r="H3" s="9"/>
      <c r="I3" s="9"/>
      <c r="J3" s="9"/>
      <c r="K3" s="9"/>
      <c r="L3" s="9"/>
      <c r="M3" s="9"/>
      <c r="N3" s="9"/>
      <c r="O3" s="9"/>
      <c r="P3" s="9"/>
      <c r="Q3" s="9"/>
      <c r="R3" s="9"/>
    </row>
    <row r="4" spans="1:18" ht="18.75" x14ac:dyDescent="0.3">
      <c r="A4" s="10" t="s">
        <v>1055</v>
      </c>
      <c r="B4" s="9"/>
      <c r="C4" s="10" t="s">
        <v>1064</v>
      </c>
      <c r="D4" s="9"/>
      <c r="E4" s="10" t="s">
        <v>1052</v>
      </c>
      <c r="F4" s="10" t="s">
        <v>1065</v>
      </c>
      <c r="G4" s="9"/>
      <c r="H4" s="17" t="s">
        <v>0</v>
      </c>
      <c r="I4" s="18" t="s">
        <v>8</v>
      </c>
      <c r="J4" s="18" t="s">
        <v>9</v>
      </c>
      <c r="K4" s="9"/>
      <c r="L4" s="9"/>
      <c r="M4" s="9"/>
      <c r="N4" s="9"/>
      <c r="O4" s="9"/>
      <c r="P4" s="9"/>
      <c r="Q4" s="9"/>
      <c r="R4" s="9"/>
    </row>
    <row r="5" spans="1:18" ht="18.75" x14ac:dyDescent="0.3">
      <c r="A5" s="16">
        <f>SUM(shoes_sales_dataset!J:J)</f>
        <v>1453186.0300000007</v>
      </c>
      <c r="B5" s="9"/>
      <c r="C5" s="16">
        <f>AVERAGE(shoes_sales_dataset!H:H)</f>
        <v>137.8564200000001</v>
      </c>
      <c r="D5" s="9"/>
      <c r="E5" s="9" t="s">
        <v>1043</v>
      </c>
      <c r="F5" s="9">
        <f>SUMIF(shoes_sales_dataset!K:K,ANALYSIS!E5,shoes_sales_dataset!J:J)</f>
        <v>125637.77999999998</v>
      </c>
      <c r="G5" s="9"/>
      <c r="H5" s="8" t="s">
        <v>44</v>
      </c>
      <c r="I5">
        <f>VLOOKUP(H5,shoes_sales_dataset!1:1048576,9,0)</f>
        <v>7</v>
      </c>
      <c r="J5">
        <f>VLOOKUP(H5,shoes_sales_dataset!A:K,10,0)</f>
        <v>1300.46</v>
      </c>
    </row>
    <row r="6" spans="1:18" ht="18.75" x14ac:dyDescent="0.3">
      <c r="A6" s="9"/>
      <c r="B6" s="9"/>
      <c r="C6" s="9"/>
      <c r="D6" s="9"/>
      <c r="E6" s="9"/>
      <c r="F6" s="9"/>
      <c r="G6" s="9"/>
    </row>
    <row r="7" spans="1:18" ht="18.75" x14ac:dyDescent="0.3">
      <c r="A7" s="9"/>
      <c r="B7" s="9"/>
      <c r="C7" s="9"/>
      <c r="D7" s="9"/>
      <c r="E7" s="10" t="s">
        <v>1052</v>
      </c>
      <c r="F7" s="10" t="s">
        <v>1054</v>
      </c>
      <c r="G7" s="9"/>
    </row>
    <row r="8" spans="1:18" ht="18.75" x14ac:dyDescent="0.3">
      <c r="A8" s="9"/>
      <c r="B8" s="9"/>
      <c r="C8" s="9"/>
      <c r="D8" s="9"/>
      <c r="E8" s="9" t="s">
        <v>1043</v>
      </c>
      <c r="F8" s="9">
        <f>SUMIF(shoes_sales_dataset!K:K,ANALYSIS!E8,shoes_sales_dataset!I:I)</f>
        <v>911</v>
      </c>
      <c r="G8" s="9"/>
    </row>
    <row r="12" spans="1:18" ht="21" x14ac:dyDescent="0.35">
      <c r="A12" s="12"/>
      <c r="B12" s="13" t="s">
        <v>1067</v>
      </c>
      <c r="C12" s="13" t="s">
        <v>1068</v>
      </c>
    </row>
    <row r="13" spans="1:18" ht="21" x14ac:dyDescent="0.35">
      <c r="A13" s="14" t="s">
        <v>1066</v>
      </c>
      <c r="B13" s="15">
        <f>MIN(shoes_sales_dataset!J:J)</f>
        <v>32.380000000000003</v>
      </c>
      <c r="C13" s="15">
        <f>MAX(shoes_sales_dataset!J:J)</f>
        <v>4938.3999999999996</v>
      </c>
    </row>
    <row r="14" spans="1:18" ht="21" x14ac:dyDescent="0.35">
      <c r="A14" s="14" t="s">
        <v>1069</v>
      </c>
      <c r="B14" s="15">
        <f>MIN(shoes_sales_dataset!I:I)</f>
        <v>1</v>
      </c>
      <c r="C14" s="15">
        <f>MAX(shoes_sales_dataset!I:I)</f>
        <v>20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7B447E67-4B11-40A4-AD1D-607EAE85CC1F}">
          <x14:formula1>
            <xm:f>shoes_sales_dataset!$K:$K</xm:f>
          </x14:formula1>
          <xm:sqref>E2 E5 E8</xm:sqref>
        </x14:dataValidation>
        <x14:dataValidation type="list" allowBlank="1" showInputMessage="1" showErrorMessage="1" xr:uid="{6355CDF9-A572-425F-B6A3-CC962B711031}">
          <x14:formula1>
            <xm:f>shoes_sales_dataset!$A:$A</xm:f>
          </x14:formula1>
          <xm:sqref>H2 H5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0CB21-7D8E-4CD8-ACA0-0F7BDA8EE105}">
  <dimension ref="A3:L34"/>
  <sheetViews>
    <sheetView topLeftCell="A22" workbookViewId="0">
      <selection activeCell="L17" sqref="L17"/>
    </sheetView>
  </sheetViews>
  <sheetFormatPr defaultRowHeight="15" x14ac:dyDescent="0.25"/>
  <cols>
    <col min="1" max="1" width="21.7109375" bestFit="1" customWidth="1"/>
    <col min="2" max="2" width="16.85546875" bestFit="1" customWidth="1"/>
    <col min="3" max="3" width="12.42578125" bestFit="1" customWidth="1"/>
    <col min="4" max="4" width="15.42578125" bestFit="1" customWidth="1"/>
    <col min="5" max="5" width="11.28515625" bestFit="1" customWidth="1"/>
    <col min="6" max="6" width="21.7109375" bestFit="1" customWidth="1"/>
    <col min="7" max="7" width="16.7109375" bestFit="1" customWidth="1"/>
    <col min="8" max="8" width="9" bestFit="1" customWidth="1"/>
    <col min="9" max="9" width="12.42578125" bestFit="1" customWidth="1"/>
    <col min="10" max="10" width="20.42578125" bestFit="1" customWidth="1"/>
    <col min="11" max="11" width="15.140625" bestFit="1" customWidth="1"/>
    <col min="12" max="12" width="14.140625" bestFit="1" customWidth="1"/>
    <col min="13" max="13" width="15.42578125" bestFit="1" customWidth="1"/>
  </cols>
  <sheetData>
    <row r="3" spans="1:12" x14ac:dyDescent="0.25">
      <c r="A3" t="s">
        <v>1051</v>
      </c>
      <c r="B3" s="3" t="s">
        <v>1052</v>
      </c>
      <c r="C3" t="s">
        <v>1053</v>
      </c>
      <c r="E3" s="1" t="s">
        <v>1052</v>
      </c>
      <c r="F3" s="1" t="s">
        <v>1054</v>
      </c>
      <c r="H3" s="3" t="s">
        <v>1052</v>
      </c>
      <c r="I3" t="s">
        <v>1055</v>
      </c>
      <c r="K3" s="3" t="s">
        <v>1060</v>
      </c>
      <c r="L3" t="s">
        <v>1051</v>
      </c>
    </row>
    <row r="4" spans="1:12" x14ac:dyDescent="0.25">
      <c r="A4" s="1">
        <v>713</v>
      </c>
      <c r="B4" s="4" t="s">
        <v>1039</v>
      </c>
      <c r="C4" s="1">
        <v>49</v>
      </c>
      <c r="E4" s="1" t="s">
        <v>1039</v>
      </c>
      <c r="F4" s="1">
        <v>530</v>
      </c>
      <c r="H4" s="4" t="s">
        <v>1039</v>
      </c>
      <c r="I4" s="1">
        <v>77936.830000000016</v>
      </c>
      <c r="K4" s="4" t="s">
        <v>20</v>
      </c>
      <c r="L4" s="1">
        <v>330</v>
      </c>
    </row>
    <row r="5" spans="1:12" x14ac:dyDescent="0.25">
      <c r="B5" s="4" t="s">
        <v>1040</v>
      </c>
      <c r="C5" s="1">
        <v>66</v>
      </c>
      <c r="E5" s="1" t="s">
        <v>1040</v>
      </c>
      <c r="F5" s="1">
        <v>679</v>
      </c>
      <c r="H5" s="4" t="s">
        <v>1040</v>
      </c>
      <c r="I5" s="1">
        <v>91839.459999999963</v>
      </c>
      <c r="K5" s="4" t="s">
        <v>15</v>
      </c>
      <c r="L5" s="1">
        <v>331</v>
      </c>
    </row>
    <row r="6" spans="1:12" x14ac:dyDescent="0.25">
      <c r="A6" t="s">
        <v>1054</v>
      </c>
      <c r="B6" s="4" t="s">
        <v>1041</v>
      </c>
      <c r="C6" s="1">
        <v>64</v>
      </c>
      <c r="E6" s="1" t="s">
        <v>1041</v>
      </c>
      <c r="F6" s="1">
        <v>646</v>
      </c>
      <c r="H6" s="4" t="s">
        <v>1041</v>
      </c>
      <c r="I6" s="1">
        <v>88887.489999999991</v>
      </c>
      <c r="K6" s="4" t="s">
        <v>36</v>
      </c>
      <c r="L6" s="1">
        <v>339</v>
      </c>
    </row>
    <row r="7" spans="1:12" x14ac:dyDescent="0.25">
      <c r="A7" s="5">
        <v>7519</v>
      </c>
      <c r="B7" s="4" t="s">
        <v>1042</v>
      </c>
      <c r="C7" s="1">
        <v>48</v>
      </c>
      <c r="E7" s="1" t="s">
        <v>1042</v>
      </c>
      <c r="F7" s="1">
        <v>499</v>
      </c>
      <c r="H7" s="4" t="s">
        <v>1042</v>
      </c>
      <c r="I7" s="1">
        <v>73110.59</v>
      </c>
      <c r="K7" s="4" t="s">
        <v>1038</v>
      </c>
      <c r="L7" s="1">
        <v>1000</v>
      </c>
    </row>
    <row r="8" spans="1:12" x14ac:dyDescent="0.25">
      <c r="B8" s="4" t="s">
        <v>1043</v>
      </c>
      <c r="C8" s="1">
        <v>69</v>
      </c>
      <c r="E8" s="1" t="s">
        <v>1043</v>
      </c>
      <c r="F8" s="1">
        <v>684</v>
      </c>
      <c r="H8" s="4" t="s">
        <v>1043</v>
      </c>
      <c r="I8" s="1">
        <v>95162.579999999987</v>
      </c>
    </row>
    <row r="9" spans="1:12" x14ac:dyDescent="0.25">
      <c r="A9" t="s">
        <v>1055</v>
      </c>
      <c r="B9" s="4" t="s">
        <v>1044</v>
      </c>
      <c r="C9" s="1">
        <v>68</v>
      </c>
      <c r="E9" s="1" t="s">
        <v>1044</v>
      </c>
      <c r="F9" s="1">
        <v>683</v>
      </c>
      <c r="H9" s="4" t="s">
        <v>1044</v>
      </c>
      <c r="I9" s="1">
        <v>88564.749999999971</v>
      </c>
      <c r="K9" s="3" t="s">
        <v>1061</v>
      </c>
      <c r="L9" t="s">
        <v>1055</v>
      </c>
    </row>
    <row r="10" spans="1:12" x14ac:dyDescent="0.25">
      <c r="A10" s="6">
        <v>1038474.3800000001</v>
      </c>
      <c r="B10" s="4" t="s">
        <v>1045</v>
      </c>
      <c r="C10" s="1">
        <v>66</v>
      </c>
      <c r="E10" s="1" t="s">
        <v>1045</v>
      </c>
      <c r="F10" s="1">
        <v>805</v>
      </c>
      <c r="H10" s="4" t="s">
        <v>1045</v>
      </c>
      <c r="I10" s="1">
        <v>105753.82999999996</v>
      </c>
      <c r="K10" s="4" t="s">
        <v>20</v>
      </c>
      <c r="L10" s="1">
        <v>479288.58000000019</v>
      </c>
    </row>
    <row r="11" spans="1:12" x14ac:dyDescent="0.25">
      <c r="B11" s="4" t="s">
        <v>1046</v>
      </c>
      <c r="C11" s="1">
        <v>50</v>
      </c>
      <c r="E11" s="1" t="s">
        <v>1046</v>
      </c>
      <c r="F11" s="1">
        <v>439</v>
      </c>
      <c r="H11" s="4" t="s">
        <v>1046</v>
      </c>
      <c r="I11" s="1">
        <v>58483.41</v>
      </c>
      <c r="K11" s="4" t="s">
        <v>15</v>
      </c>
      <c r="L11" s="1">
        <v>467772.32000000012</v>
      </c>
    </row>
    <row r="12" spans="1:12" x14ac:dyDescent="0.25">
      <c r="A12" t="s">
        <v>1058</v>
      </c>
      <c r="B12" s="4" t="s">
        <v>1047</v>
      </c>
      <c r="C12" s="1">
        <v>47</v>
      </c>
      <c r="E12" s="1" t="s">
        <v>1047</v>
      </c>
      <c r="F12" s="1">
        <v>512</v>
      </c>
      <c r="H12" s="4" t="s">
        <v>1047</v>
      </c>
      <c r="I12" s="1">
        <v>68405.210000000021</v>
      </c>
      <c r="K12" s="4" t="s">
        <v>36</v>
      </c>
      <c r="L12" s="1">
        <v>506125.1299999996</v>
      </c>
    </row>
    <row r="13" spans="1:12" x14ac:dyDescent="0.25">
      <c r="A13" s="6">
        <v>137.6168162692847</v>
      </c>
      <c r="B13" s="4" t="s">
        <v>1048</v>
      </c>
      <c r="C13" s="1">
        <v>70</v>
      </c>
      <c r="E13" s="1" t="s">
        <v>1048</v>
      </c>
      <c r="F13" s="1">
        <v>710</v>
      </c>
      <c r="H13" s="4" t="s">
        <v>1048</v>
      </c>
      <c r="I13" s="1">
        <v>100545.93999999997</v>
      </c>
      <c r="K13" s="4" t="s">
        <v>1038</v>
      </c>
      <c r="L13" s="1">
        <v>1453186.03</v>
      </c>
    </row>
    <row r="14" spans="1:12" x14ac:dyDescent="0.25">
      <c r="B14" s="4" t="s">
        <v>1049</v>
      </c>
      <c r="C14" s="1">
        <v>54</v>
      </c>
      <c r="E14" s="1" t="s">
        <v>1049</v>
      </c>
      <c r="F14" s="1">
        <v>622</v>
      </c>
      <c r="H14" s="4" t="s">
        <v>1049</v>
      </c>
      <c r="I14" s="1">
        <v>95552.45</v>
      </c>
    </row>
    <row r="15" spans="1:12" x14ac:dyDescent="0.25">
      <c r="B15" s="4" t="s">
        <v>1050</v>
      </c>
      <c r="C15" s="1">
        <v>62</v>
      </c>
      <c r="E15" s="1" t="s">
        <v>1050</v>
      </c>
      <c r="F15" s="1">
        <v>710</v>
      </c>
      <c r="H15" s="4" t="s">
        <v>1050</v>
      </c>
      <c r="I15" s="1">
        <v>94231.840000000011</v>
      </c>
    </row>
    <row r="16" spans="1:12" x14ac:dyDescent="0.25">
      <c r="E16" s="1" t="s">
        <v>1038</v>
      </c>
      <c r="F16" s="1">
        <v>7519</v>
      </c>
      <c r="H16" s="4" t="s">
        <v>1038</v>
      </c>
      <c r="I16" s="1">
        <v>1038474.3799999998</v>
      </c>
    </row>
    <row r="18" spans="1:8" x14ac:dyDescent="0.25">
      <c r="A18" s="3" t="s">
        <v>1056</v>
      </c>
      <c r="B18" t="s">
        <v>1055</v>
      </c>
      <c r="D18" s="3" t="s">
        <v>1056</v>
      </c>
      <c r="E18" t="s">
        <v>1057</v>
      </c>
      <c r="G18" s="3" t="s">
        <v>1056</v>
      </c>
      <c r="H18" t="s">
        <v>1058</v>
      </c>
    </row>
    <row r="19" spans="1:8" x14ac:dyDescent="0.25">
      <c r="A19" s="4" t="s">
        <v>30</v>
      </c>
      <c r="B19" s="1">
        <v>170427.97999999998</v>
      </c>
      <c r="D19" s="4" t="s">
        <v>17</v>
      </c>
      <c r="E19" s="1">
        <v>1264</v>
      </c>
      <c r="G19" s="4" t="s">
        <v>30</v>
      </c>
      <c r="H19" s="5">
        <v>135.59220183486241</v>
      </c>
    </row>
    <row r="20" spans="1:8" x14ac:dyDescent="0.25">
      <c r="A20" s="4" t="s">
        <v>25</v>
      </c>
      <c r="B20" s="1">
        <v>209266.25999999992</v>
      </c>
      <c r="D20" s="4" t="s">
        <v>38</v>
      </c>
      <c r="E20" s="1">
        <v>1335</v>
      </c>
      <c r="G20" s="4" t="s">
        <v>25</v>
      </c>
      <c r="H20" s="5">
        <v>147.77866141732284</v>
      </c>
    </row>
    <row r="21" spans="1:8" x14ac:dyDescent="0.25">
      <c r="A21" s="4" t="s">
        <v>11</v>
      </c>
      <c r="B21" s="1">
        <v>134515.44</v>
      </c>
      <c r="D21" s="4" t="s">
        <v>34</v>
      </c>
      <c r="E21" s="1">
        <v>1221</v>
      </c>
      <c r="G21" s="4" t="s">
        <v>11</v>
      </c>
      <c r="H21" s="5">
        <v>130.96769230769229</v>
      </c>
    </row>
    <row r="22" spans="1:8" x14ac:dyDescent="0.25">
      <c r="A22" s="4" t="s">
        <v>34</v>
      </c>
      <c r="B22" s="1">
        <v>162366.81000000003</v>
      </c>
      <c r="D22" s="4" t="s">
        <v>11</v>
      </c>
      <c r="E22" s="1">
        <v>1034</v>
      </c>
      <c r="G22" s="4" t="s">
        <v>34</v>
      </c>
      <c r="H22" s="5">
        <v>134.36099999999999</v>
      </c>
    </row>
    <row r="23" spans="1:8" x14ac:dyDescent="0.25">
      <c r="A23" s="4" t="s">
        <v>38</v>
      </c>
      <c r="B23" s="1">
        <v>188239.17000000004</v>
      </c>
      <c r="D23" s="4" t="s">
        <v>25</v>
      </c>
      <c r="E23" s="1">
        <v>1439</v>
      </c>
      <c r="G23" s="4" t="s">
        <v>38</v>
      </c>
      <c r="H23" s="5">
        <v>137.65277777777774</v>
      </c>
    </row>
    <row r="24" spans="1:8" x14ac:dyDescent="0.25">
      <c r="A24" s="4" t="s">
        <v>17</v>
      </c>
      <c r="B24" s="1">
        <v>173658.72000000009</v>
      </c>
      <c r="D24" s="4" t="s">
        <v>30</v>
      </c>
      <c r="E24" s="1">
        <v>1226</v>
      </c>
      <c r="G24" s="4" t="s">
        <v>17</v>
      </c>
      <c r="H24" s="5">
        <v>137.67826771653537</v>
      </c>
    </row>
    <row r="25" spans="1:8" x14ac:dyDescent="0.25">
      <c r="G25" s="4" t="s">
        <v>1038</v>
      </c>
      <c r="H25" s="5">
        <v>137.61681626928475</v>
      </c>
    </row>
    <row r="26" spans="1:8" x14ac:dyDescent="0.25">
      <c r="A26" s="3" t="s">
        <v>1062</v>
      </c>
      <c r="B26" s="3" t="s">
        <v>1059</v>
      </c>
    </row>
    <row r="27" spans="1:8" x14ac:dyDescent="0.25">
      <c r="A27" s="3" t="s">
        <v>1056</v>
      </c>
      <c r="B27" t="s">
        <v>12</v>
      </c>
      <c r="C27" t="s">
        <v>26</v>
      </c>
      <c r="D27" t="s">
        <v>31</v>
      </c>
      <c r="E27" t="s">
        <v>22</v>
      </c>
      <c r="F27" t="s">
        <v>55</v>
      </c>
      <c r="G27" t="s">
        <v>35</v>
      </c>
      <c r="H27" t="s">
        <v>1038</v>
      </c>
    </row>
    <row r="28" spans="1:8" x14ac:dyDescent="0.25">
      <c r="A28" s="4" t="s">
        <v>30</v>
      </c>
      <c r="B28" s="7">
        <v>21</v>
      </c>
      <c r="C28" s="7">
        <v>19</v>
      </c>
      <c r="D28" s="7">
        <v>17</v>
      </c>
      <c r="E28" s="7">
        <v>16</v>
      </c>
      <c r="F28" s="7">
        <v>21</v>
      </c>
      <c r="G28" s="7">
        <v>15</v>
      </c>
      <c r="H28" s="7">
        <v>109</v>
      </c>
    </row>
    <row r="29" spans="1:8" x14ac:dyDescent="0.25">
      <c r="A29" s="4" t="s">
        <v>25</v>
      </c>
      <c r="B29" s="7">
        <v>29</v>
      </c>
      <c r="C29" s="7">
        <v>22</v>
      </c>
      <c r="D29" s="7">
        <v>17</v>
      </c>
      <c r="E29" s="7">
        <v>17</v>
      </c>
      <c r="F29" s="7">
        <v>25</v>
      </c>
      <c r="G29" s="7">
        <v>17</v>
      </c>
      <c r="H29" s="7">
        <v>127</v>
      </c>
    </row>
    <row r="30" spans="1:8" x14ac:dyDescent="0.25">
      <c r="A30" s="4" t="s">
        <v>11</v>
      </c>
      <c r="B30" s="7">
        <v>24</v>
      </c>
      <c r="C30" s="7">
        <v>19</v>
      </c>
      <c r="D30" s="7">
        <v>17</v>
      </c>
      <c r="E30" s="7">
        <v>9</v>
      </c>
      <c r="F30" s="7">
        <v>24</v>
      </c>
      <c r="G30" s="7">
        <v>11</v>
      </c>
      <c r="H30" s="7">
        <v>104</v>
      </c>
    </row>
    <row r="31" spans="1:8" x14ac:dyDescent="0.25">
      <c r="A31" s="4" t="s">
        <v>34</v>
      </c>
      <c r="B31" s="7">
        <v>19</v>
      </c>
      <c r="C31" s="7">
        <v>19</v>
      </c>
      <c r="D31" s="7">
        <v>25</v>
      </c>
      <c r="E31" s="7">
        <v>19</v>
      </c>
      <c r="F31" s="7">
        <v>16</v>
      </c>
      <c r="G31" s="7">
        <v>22</v>
      </c>
      <c r="H31" s="7">
        <v>120</v>
      </c>
    </row>
    <row r="32" spans="1:8" x14ac:dyDescent="0.25">
      <c r="A32" s="4" t="s">
        <v>38</v>
      </c>
      <c r="B32" s="7">
        <v>18</v>
      </c>
      <c r="C32" s="7">
        <v>23</v>
      </c>
      <c r="D32" s="7">
        <v>21</v>
      </c>
      <c r="E32" s="7">
        <v>22</v>
      </c>
      <c r="F32" s="7">
        <v>20</v>
      </c>
      <c r="G32" s="7">
        <v>22</v>
      </c>
      <c r="H32" s="7">
        <v>126</v>
      </c>
    </row>
    <row r="33" spans="1:8" x14ac:dyDescent="0.25">
      <c r="A33" s="4" t="s">
        <v>17</v>
      </c>
      <c r="B33" s="7">
        <v>28</v>
      </c>
      <c r="C33" s="7">
        <v>17</v>
      </c>
      <c r="D33" s="7">
        <v>18</v>
      </c>
      <c r="E33" s="7">
        <v>27</v>
      </c>
      <c r="F33" s="7">
        <v>14</v>
      </c>
      <c r="G33" s="7">
        <v>23</v>
      </c>
      <c r="H33" s="7">
        <v>127</v>
      </c>
    </row>
    <row r="34" spans="1:8" x14ac:dyDescent="0.25">
      <c r="A34" s="4" t="s">
        <v>1038</v>
      </c>
      <c r="B34" s="7">
        <v>139</v>
      </c>
      <c r="C34" s="7">
        <v>119</v>
      </c>
      <c r="D34" s="7">
        <v>115</v>
      </c>
      <c r="E34" s="7">
        <v>110</v>
      </c>
      <c r="F34" s="7">
        <v>120</v>
      </c>
      <c r="G34" s="7">
        <v>110</v>
      </c>
      <c r="H34" s="7">
        <v>713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7B2C1-9413-43AA-995C-D081501BC065}">
  <dimension ref="A1:A12"/>
  <sheetViews>
    <sheetView tabSelected="1" topLeftCell="A7" zoomScale="60" zoomScaleNormal="60" workbookViewId="0">
      <selection activeCell="Y18" sqref="Y18"/>
    </sheetView>
  </sheetViews>
  <sheetFormatPr defaultRowHeight="15" x14ac:dyDescent="0.25"/>
  <sheetData>
    <row r="1" customFormat="1" x14ac:dyDescent="0.25"/>
    <row r="2" customFormat="1" x14ac:dyDescent="0.25"/>
    <row r="3" customFormat="1" x14ac:dyDescent="0.25"/>
    <row r="4" customFormat="1" x14ac:dyDescent="0.25"/>
    <row r="5" customFormat="1" x14ac:dyDescent="0.25"/>
    <row r="6" customFormat="1" x14ac:dyDescent="0.25"/>
    <row r="7" customFormat="1" x14ac:dyDescent="0.25"/>
    <row r="8" customFormat="1" x14ac:dyDescent="0.25"/>
    <row r="9" customFormat="1" x14ac:dyDescent="0.25"/>
    <row r="10" customFormat="1" x14ac:dyDescent="0.25"/>
    <row r="11" customFormat="1" x14ac:dyDescent="0.25"/>
    <row r="12"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705CBA-937C-4CD2-B1A4-19CD651ECB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shoes_sales_dataset</vt:lpstr>
      <vt:lpstr>ANALYSIS</vt:lpstr>
      <vt:lpstr>PIVOT_TABLES</vt:lpstr>
      <vt:lpstr>DASHB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2026-05-05T02:39:34Z</dcterms:created>
  <dcterms:modified xsi:type="dcterms:W3CDTF">2026-05-05T05:25:49Z</dcterms:modified>
</cp:coreProperties>
</file>